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illlion/Downloads/"/>
    </mc:Choice>
  </mc:AlternateContent>
  <xr:revisionPtr revIDLastSave="0" documentId="13_ncr:1_{093A6F95-B4B0-F24E-90D6-C972273A4D61}" xr6:coauthVersionLast="47" xr6:coauthVersionMax="47" xr10:uidLastSave="{00000000-0000-0000-0000-000000000000}"/>
  <bookViews>
    <workbookView xWindow="0" yWindow="660" windowWidth="29400" windowHeight="18460" tabRatio="500" activeTab="2" xr2:uid="{00000000-000D-0000-FFFF-FFFF00000000}"/>
  </bookViews>
  <sheets>
    <sheet name="1. Summary" sheetId="1" r:id="rId1"/>
    <sheet name="2. Assumptions" sheetId="2" r:id="rId2"/>
    <sheet name="3. Software Man-Days" sheetId="3" r:id="rId3"/>
    <sheet name="4. One-off Build" sheetId="4" r:id="rId4"/>
    <sheet name="5. Per-Device Monthly" sheetId="5" r:id="rId5"/>
    <sheet name="6. Break-even" sheetId="6" r:id="rId6"/>
    <sheet name="7. Sensitivity" sheetId="7" state="hidden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5" l="1"/>
  <c r="D11" i="5"/>
  <c r="C11" i="5"/>
  <c r="C5" i="5"/>
  <c r="J30" i="2"/>
  <c r="J29" i="2"/>
  <c r="J28" i="2"/>
  <c r="J27" i="2"/>
  <c r="J25" i="2"/>
  <c r="C14" i="4"/>
  <c r="D14" i="4"/>
  <c r="C5" i="4"/>
  <c r="B5" i="4" s="1"/>
  <c r="D5" i="4"/>
  <c r="F27" i="3"/>
  <c r="G27" i="3"/>
  <c r="I26" i="3"/>
  <c r="H26" i="3"/>
  <c r="E18" i="5"/>
  <c r="D18" i="5"/>
  <c r="C18" i="5"/>
  <c r="E9" i="5"/>
  <c r="D9" i="5"/>
  <c r="C9" i="5"/>
  <c r="E8" i="5"/>
  <c r="D8" i="5"/>
  <c r="C8" i="5"/>
  <c r="E7" i="5"/>
  <c r="D7" i="5"/>
  <c r="C7" i="5"/>
  <c r="E6" i="5"/>
  <c r="D6" i="5"/>
  <c r="C6" i="5"/>
  <c r="E5" i="5"/>
  <c r="E10" i="5" s="1"/>
  <c r="D5" i="5"/>
  <c r="C10" i="5"/>
  <c r="D18" i="4"/>
  <c r="C19" i="4" s="1"/>
  <c r="D9" i="4"/>
  <c r="D8" i="4"/>
  <c r="D7" i="4"/>
  <c r="D6" i="4"/>
  <c r="D41" i="3"/>
  <c r="C41" i="3"/>
  <c r="F41" i="3" s="1"/>
  <c r="G41" i="3" s="1"/>
  <c r="D40" i="3"/>
  <c r="C40" i="3"/>
  <c r="F40" i="3" s="1"/>
  <c r="G40" i="3" s="1"/>
  <c r="D39" i="3"/>
  <c r="C39" i="3"/>
  <c r="F39" i="3" s="1"/>
  <c r="G39" i="3" s="1"/>
  <c r="D38" i="3"/>
  <c r="C38" i="3"/>
  <c r="F38" i="3" s="1"/>
  <c r="G38" i="3" s="1"/>
  <c r="D37" i="3"/>
  <c r="C37" i="3"/>
  <c r="F37" i="3" s="1"/>
  <c r="G37" i="3" s="1"/>
  <c r="D36" i="3"/>
  <c r="C36" i="3"/>
  <c r="F36" i="3" s="1"/>
  <c r="G36" i="3" s="1"/>
  <c r="D35" i="3"/>
  <c r="C35" i="3"/>
  <c r="F35" i="3" s="1"/>
  <c r="G35" i="3" s="1"/>
  <c r="D34" i="3"/>
  <c r="C34" i="3"/>
  <c r="F34" i="3" s="1"/>
  <c r="G34" i="3" s="1"/>
  <c r="D33" i="3"/>
  <c r="C33" i="3"/>
  <c r="F33" i="3" s="1"/>
  <c r="G33" i="3" s="1"/>
  <c r="D32" i="3"/>
  <c r="C32" i="3"/>
  <c r="F32" i="3" s="1"/>
  <c r="G32" i="3" s="1"/>
  <c r="D31" i="3"/>
  <c r="C31" i="3"/>
  <c r="C24" i="3"/>
  <c r="D22" i="3"/>
  <c r="F22" i="3" s="1"/>
  <c r="G22" i="3" s="1"/>
  <c r="D21" i="3"/>
  <c r="F21" i="3" s="1"/>
  <c r="G21" i="3" s="1"/>
  <c r="D20" i="3"/>
  <c r="F20" i="3" s="1"/>
  <c r="G20" i="3" s="1"/>
  <c r="D19" i="3"/>
  <c r="F19" i="3" s="1"/>
  <c r="G19" i="3" s="1"/>
  <c r="D18" i="3"/>
  <c r="F18" i="3" s="1"/>
  <c r="G18" i="3" s="1"/>
  <c r="D17" i="3"/>
  <c r="F17" i="3" s="1"/>
  <c r="G17" i="3" s="1"/>
  <c r="D16" i="3"/>
  <c r="F16" i="3" s="1"/>
  <c r="G16" i="3" s="1"/>
  <c r="D15" i="3"/>
  <c r="F15" i="3" s="1"/>
  <c r="G15" i="3" s="1"/>
  <c r="D14" i="3"/>
  <c r="F14" i="3" s="1"/>
  <c r="G14" i="3" s="1"/>
  <c r="D13" i="3"/>
  <c r="F13" i="3" s="1"/>
  <c r="G13" i="3" s="1"/>
  <c r="D12" i="3"/>
  <c r="F12" i="3" s="1"/>
  <c r="G12" i="3" s="1"/>
  <c r="D11" i="3"/>
  <c r="F11" i="3" s="1"/>
  <c r="G11" i="3" s="1"/>
  <c r="D10" i="3"/>
  <c r="F10" i="3" s="1"/>
  <c r="G10" i="3" s="1"/>
  <c r="D9" i="3"/>
  <c r="F9" i="3" s="1"/>
  <c r="G9" i="3" s="1"/>
  <c r="D8" i="3"/>
  <c r="F8" i="3" s="1"/>
  <c r="G8" i="3" s="1"/>
  <c r="D7" i="3"/>
  <c r="F7" i="3" s="1"/>
  <c r="G7" i="3" s="1"/>
  <c r="D6" i="3"/>
  <c r="F6" i="3" s="1"/>
  <c r="G6" i="3" s="1"/>
  <c r="D5" i="3"/>
  <c r="F5" i="3" s="1"/>
  <c r="C22" i="2"/>
  <c r="E21" i="3" s="1"/>
  <c r="C21" i="2"/>
  <c r="E19" i="3" s="1"/>
  <c r="C20" i="2"/>
  <c r="C19" i="2"/>
  <c r="C18" i="2"/>
  <c r="E18" i="3" s="1"/>
  <c r="C17" i="2"/>
  <c r="E9" i="3" s="1"/>
  <c r="C16" i="2"/>
  <c r="E16" i="3" s="1"/>
  <c r="C15" i="2"/>
  <c r="E7" i="3" s="1"/>
  <c r="C14" i="2"/>
  <c r="C13" i="2"/>
  <c r="C12" i="2"/>
  <c r="C14" i="5" l="1"/>
  <c r="C15" i="5"/>
  <c r="O7" i="6"/>
  <c r="G7" i="6"/>
  <c r="I7" i="6"/>
  <c r="X7" i="6"/>
  <c r="V7" i="6"/>
  <c r="T7" i="6"/>
  <c r="R7" i="6"/>
  <c r="N7" i="6"/>
  <c r="L7" i="6"/>
  <c r="K7" i="6"/>
  <c r="H7" i="6"/>
  <c r="F7" i="6"/>
  <c r="D7" i="6"/>
  <c r="J7" i="6"/>
  <c r="E7" i="6"/>
  <c r="M7" i="6"/>
  <c r="Y7" i="6"/>
  <c r="W7" i="6"/>
  <c r="U7" i="6"/>
  <c r="S7" i="6"/>
  <c r="Q7" i="6"/>
  <c r="P7" i="6"/>
  <c r="D8" i="6"/>
  <c r="D9" i="6" s="1"/>
  <c r="D18" i="6" s="1"/>
  <c r="B8" i="6"/>
  <c r="E8" i="6"/>
  <c r="E9" i="6" s="1"/>
  <c r="E18" i="6" s="1"/>
  <c r="G8" i="6"/>
  <c r="G9" i="6" s="1"/>
  <c r="G18" i="6" s="1"/>
  <c r="H8" i="6"/>
  <c r="H9" i="6" s="1"/>
  <c r="H18" i="6" s="1"/>
  <c r="I8" i="6"/>
  <c r="I9" i="6" s="1"/>
  <c r="I18" i="6" s="1"/>
  <c r="C8" i="6"/>
  <c r="Y8" i="6"/>
  <c r="Y9" i="6" s="1"/>
  <c r="Y18" i="6" s="1"/>
  <c r="F8" i="6"/>
  <c r="D10" i="5"/>
  <c r="U8" i="6"/>
  <c r="E8" i="3"/>
  <c r="E20" i="3"/>
  <c r="E5" i="3"/>
  <c r="E22" i="3"/>
  <c r="C7" i="6"/>
  <c r="B7" i="6"/>
  <c r="E15" i="5"/>
  <c r="E14" i="5"/>
  <c r="V8" i="6"/>
  <c r="K8" i="6"/>
  <c r="W8" i="6"/>
  <c r="T8" i="6"/>
  <c r="T9" i="6" s="1"/>
  <c r="T18" i="6" s="1"/>
  <c r="S8" i="6"/>
  <c r="S9" i="6" s="1"/>
  <c r="S18" i="6" s="1"/>
  <c r="R8" i="6"/>
  <c r="R9" i="6" s="1"/>
  <c r="R18" i="6" s="1"/>
  <c r="P8" i="6"/>
  <c r="P9" i="6" s="1"/>
  <c r="P18" i="6" s="1"/>
  <c r="O8" i="6"/>
  <c r="O9" i="6" s="1"/>
  <c r="O18" i="6" s="1"/>
  <c r="N8" i="6"/>
  <c r="N9" i="6" s="1"/>
  <c r="N18" i="6" s="1"/>
  <c r="L8" i="6"/>
  <c r="L9" i="6" s="1"/>
  <c r="L18" i="6" s="1"/>
  <c r="J8" i="6"/>
  <c r="J9" i="6" s="1"/>
  <c r="J18" i="6" s="1"/>
  <c r="X8" i="6"/>
  <c r="X9" i="6" s="1"/>
  <c r="X18" i="6" s="1"/>
  <c r="Q8" i="6"/>
  <c r="M8" i="6"/>
  <c r="F31" i="3"/>
  <c r="C42" i="3"/>
  <c r="C25" i="3"/>
  <c r="C26" i="3" s="1"/>
  <c r="G5" i="3"/>
  <c r="G24" i="3" s="1"/>
  <c r="F24" i="3"/>
  <c r="E10" i="3"/>
  <c r="E15" i="3"/>
  <c r="E6" i="3"/>
  <c r="E13" i="3"/>
  <c r="E12" i="3"/>
  <c r="E14" i="3"/>
  <c r="E11" i="3"/>
  <c r="E17" i="3"/>
  <c r="F9" i="6" l="1"/>
  <c r="F18" i="6" s="1"/>
  <c r="U9" i="6"/>
  <c r="U18" i="6" s="1"/>
  <c r="B9" i="6"/>
  <c r="B18" i="6" s="1"/>
  <c r="V9" i="6"/>
  <c r="V18" i="6" s="1"/>
  <c r="K9" i="6"/>
  <c r="K18" i="6" s="1"/>
  <c r="W9" i="6"/>
  <c r="W18" i="6" s="1"/>
  <c r="Q9" i="6"/>
  <c r="Q18" i="6" s="1"/>
  <c r="M9" i="6"/>
  <c r="M18" i="6" s="1"/>
  <c r="C9" i="6"/>
  <c r="C18" i="6" s="1"/>
  <c r="B16" i="6" s="1"/>
  <c r="B9" i="1" s="1"/>
  <c r="B8" i="1"/>
  <c r="D14" i="5"/>
  <c r="E19" i="5"/>
  <c r="E16" i="5"/>
  <c r="E17" i="5"/>
  <c r="C19" i="5"/>
  <c r="C16" i="5"/>
  <c r="C17" i="5"/>
  <c r="G31" i="3"/>
  <c r="G42" i="3" s="1"/>
  <c r="F42" i="3"/>
  <c r="F25" i="3"/>
  <c r="D15" i="5" l="1"/>
  <c r="C8" i="1"/>
  <c r="G25" i="3"/>
  <c r="G26" i="3" s="1"/>
  <c r="F26" i="3"/>
  <c r="D19" i="5" l="1"/>
  <c r="K6" i="6" s="1"/>
  <c r="D17" i="5"/>
  <c r="D16" i="5"/>
  <c r="D11" i="4"/>
  <c r="C7" i="1"/>
  <c r="B7" i="1"/>
  <c r="W6" i="6" l="1"/>
  <c r="S6" i="6"/>
  <c r="R6" i="6"/>
  <c r="Y6" i="6"/>
  <c r="T6" i="6"/>
  <c r="X6" i="6"/>
  <c r="U6" i="6"/>
  <c r="Q6" i="6"/>
  <c r="P6" i="6"/>
  <c r="L6" i="6"/>
  <c r="O6" i="6"/>
  <c r="N6" i="6"/>
  <c r="V6" i="6"/>
  <c r="M6" i="6"/>
  <c r="J6" i="6"/>
  <c r="I6" i="6"/>
  <c r="H6" i="6"/>
  <c r="G6" i="6"/>
  <c r="F6" i="6"/>
  <c r="E6" i="6"/>
  <c r="C6" i="6"/>
  <c r="B6" i="6"/>
  <c r="D6" i="6"/>
  <c r="C11" i="4"/>
  <c r="C12" i="4" s="1"/>
  <c r="B11" i="4"/>
  <c r="B12" i="4" s="1"/>
  <c r="B13" i="4" s="1"/>
  <c r="D12" i="4" l="1"/>
  <c r="D13" i="4" s="1"/>
  <c r="C13" i="4"/>
  <c r="D21" i="4" l="1"/>
  <c r="B10" i="6"/>
  <c r="C6" i="1"/>
  <c r="B6" i="1"/>
  <c r="C21" i="4"/>
  <c r="C10" i="6" l="1"/>
  <c r="B19" i="6"/>
  <c r="B11" i="6"/>
  <c r="D10" i="6" l="1"/>
  <c r="C19" i="6"/>
  <c r="C11" i="6"/>
  <c r="E10" i="6" l="1"/>
  <c r="D19" i="6"/>
  <c r="D11" i="6"/>
  <c r="F10" i="6" l="1"/>
  <c r="E19" i="6"/>
  <c r="E11" i="6"/>
  <c r="G10" i="6" l="1"/>
  <c r="F19" i="6"/>
  <c r="F11" i="6"/>
  <c r="H10" i="6" l="1"/>
  <c r="G19" i="6"/>
  <c r="G11" i="6"/>
  <c r="I10" i="6" l="1"/>
  <c r="H19" i="6"/>
  <c r="H11" i="6"/>
  <c r="J10" i="6" l="1"/>
  <c r="I19" i="6"/>
  <c r="I11" i="6"/>
  <c r="K10" i="6" l="1"/>
  <c r="J19" i="6"/>
  <c r="J11" i="6"/>
  <c r="L10" i="6" l="1"/>
  <c r="K19" i="6"/>
  <c r="K11" i="6"/>
  <c r="M10" i="6" l="1"/>
  <c r="L19" i="6"/>
  <c r="L11" i="6"/>
  <c r="N10" i="6" l="1"/>
  <c r="M19" i="6"/>
  <c r="M11" i="6"/>
  <c r="O10" i="6" l="1"/>
  <c r="N19" i="6"/>
  <c r="N11" i="6"/>
  <c r="O19" i="6" l="1"/>
  <c r="P10" i="6"/>
  <c r="O11" i="6"/>
  <c r="Q10" i="6" l="1"/>
  <c r="P11" i="6"/>
  <c r="P19" i="6"/>
  <c r="R10" i="6" l="1"/>
  <c r="Q11" i="6"/>
  <c r="Q19" i="6"/>
  <c r="S10" i="6" l="1"/>
  <c r="R11" i="6"/>
  <c r="R19" i="6"/>
  <c r="T10" i="6" l="1"/>
  <c r="S11" i="6"/>
  <c r="S19" i="6"/>
  <c r="U10" i="6" l="1"/>
  <c r="T11" i="6"/>
  <c r="T19" i="6"/>
  <c r="V10" i="6" l="1"/>
  <c r="U11" i="6"/>
  <c r="U19" i="6"/>
  <c r="W10" i="6" l="1"/>
  <c r="V11" i="6"/>
  <c r="V19" i="6"/>
  <c r="W19" i="6" l="1"/>
  <c r="X10" i="6"/>
  <c r="W11" i="6"/>
  <c r="Y10" i="6" l="1"/>
  <c r="X11" i="6"/>
  <c r="X19" i="6"/>
  <c r="Y11" i="6" l="1"/>
  <c r="Y19" i="6"/>
  <c r="B17" i="6" s="1"/>
  <c r="B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color rgb="FF000000"/>
            <rFont val="Arial"/>
            <family val="2"/>
          </rPr>
          <t>Working rate for the model. 2026 spot is around 62–68. Adjust before locking any commercial decision.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6" authorId="0" shapeId="0" xr:uid="{00000000-0006-0000-0300-000001000000}">
      <text>
        <r>
          <rPr>
            <sz val="10"/>
            <color rgb="FF000000"/>
            <rFont val="Arial"/>
            <family val="2"/>
          </rPr>
          <t>Placeholder. Agree with Dexter and Siva.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6" authorId="0" shapeId="0" xr:uid="{00000000-0006-0000-0500-000001000000}">
      <text>
        <r>
          <rPr>
            <sz val="10"/>
            <rFont val="Arial"/>
            <family val="2"/>
          </rPr>
          <t>First month index where monthly contribution ≥ 0</t>
        </r>
      </text>
    </comment>
    <comment ref="B17" authorId="0" shapeId="0" xr:uid="{00000000-0006-0000-0500-000002000000}">
      <text>
        <r>
          <rPr>
            <sz val="10"/>
            <rFont val="Arial"/>
            <family val="2"/>
          </rPr>
          <t>First month index where cumulative cash ≥ 0</t>
        </r>
      </text>
    </comment>
  </commentList>
</comments>
</file>

<file path=xl/sharedStrings.xml><?xml version="1.0" encoding="utf-8"?>
<sst xmlns="http://schemas.openxmlformats.org/spreadsheetml/2006/main" count="311" uniqueCount="267">
  <si>
    <t>All build work in India. INR primary, SGD converted at the rate on the Assumptions sheet.</t>
  </si>
  <si>
    <t>Headline totals</t>
  </si>
  <si>
    <t>INR</t>
  </si>
  <si>
    <t>SGD</t>
  </si>
  <si>
    <t>Notes</t>
  </si>
  <si>
    <t>One-off build cost (likely, excl. retainer)</t>
  </si>
  <si>
    <t>Cash needed before the first paying deployment</t>
  </si>
  <si>
    <t>Software build (man-days approach)</t>
  </si>
  <si>
    <t>Subset of the one-off total — built by India team</t>
  </si>
  <si>
    <t>Per-device monthly cost @ 500 devices</t>
  </si>
  <si>
    <t>What one wrist on one officer costs us per month</t>
  </si>
  <si>
    <t>Monthly cash turns positive at</t>
  </si>
  <si>
    <t>First month monthly contribution goes positive</t>
  </si>
  <si>
    <t>One-off spend recovered at</t>
  </si>
  <si>
    <t>First month cumulative cash goes positive</t>
  </si>
  <si>
    <t>How to use this workbook</t>
  </si>
  <si>
    <t>Blue cells are inputs — edit these.</t>
  </si>
  <si>
    <t>Black cells are formulas — do not edit; they will recalculate.</t>
  </si>
  <si>
    <t>Green cells pull values from another sheet.</t>
  </si>
  <si>
    <t>Yellow fill marks the key assumptions to challenge first.</t>
  </si>
  <si>
    <t>Sheets</t>
  </si>
  <si>
    <t>2. Assumptions</t>
  </si>
  <si>
    <t>FX rate, day rates by role, standing assumptions</t>
  </si>
  <si>
    <t>3. Software Man-Days</t>
  </si>
  <si>
    <t>Work packages × role × days × INR day rate → software build cost</t>
  </si>
  <si>
    <t>4. One-off Build</t>
  </si>
  <si>
    <t>All-in one-off spend: software + prototyping + patent + legal + cloud + retainer</t>
  </si>
  <si>
    <t>5. Per-Device Monthly</t>
  </si>
  <si>
    <t>Recurring per-device cost at 100, 500, 1,000 devices</t>
  </si>
  <si>
    <t>6. Break-even</t>
  </si>
  <si>
    <t>Fleet ramp, monthly contribution, cumulative cash</t>
  </si>
  <si>
    <t>7. Sensitivity</t>
  </si>
  <si>
    <t>Four inputs that swing the answer most</t>
  </si>
  <si>
    <t>Assumptions &amp; FX</t>
  </si>
  <si>
    <t>All blue cells editable. Everything else follows.</t>
  </si>
  <si>
    <t>Foreign exchange</t>
  </si>
  <si>
    <t>SGD 1 = INR</t>
  </si>
  <si>
    <t>Named FX_RATE. Every SGD figure divides an INR figure by this cell.</t>
  </si>
  <si>
    <t>Working days</t>
  </si>
  <si>
    <t>Standard working days per month</t>
  </si>
  <si>
    <t>Used only for role-to-monthly-cost conversion where needed</t>
  </si>
  <si>
    <t>India engineering day rates (freelance / small studio, 2026)</t>
  </si>
  <si>
    <t>Role</t>
  </si>
  <si>
    <t>INR/day</t>
  </si>
  <si>
    <t>SGD/day</t>
  </si>
  <si>
    <t>Tech Lead / Architect</t>
  </si>
  <si>
    <t>Senior IC, 10+ yrs, owns architecture &amp; code review</t>
  </si>
  <si>
    <t>Senior Full-stack Engineer</t>
  </si>
  <si>
    <t>Web + API, 6–8 yrs</t>
  </si>
  <si>
    <t>Mid Full-stack Engineer</t>
  </si>
  <si>
    <t>Web + API, 3–5 yrs</t>
  </si>
  <si>
    <t>Embedded / Firmware Engineer</t>
  </si>
  <si>
    <t>Wearable firmware, BLE, GPS, cellular modem</t>
  </si>
  <si>
    <t>AI / RAG Engineer</t>
  </si>
  <si>
    <t>LLM integration, retrieval, guardrails</t>
  </si>
  <si>
    <t>Mobile Engineer</t>
  </si>
  <si>
    <t>Android/iOS companion, if needed</t>
  </si>
  <si>
    <t>DevOps / Cloud Engineer</t>
  </si>
  <si>
    <t>Azure Singapore, Terraform, CI/CD, PDPA-aware</t>
  </si>
  <si>
    <t>UI / UX Designer</t>
  </si>
  <si>
    <t>Officer wrist UI, control-room console, admin</t>
  </si>
  <si>
    <t>QA Engineer</t>
  </si>
  <si>
    <t>Manual + automated test, field-trial support</t>
  </si>
  <si>
    <t>Security Consultant</t>
  </si>
  <si>
    <t>Threat model, pen-test coordination, DPIA input</t>
  </si>
  <si>
    <t>Project Manager</t>
  </si>
  <si>
    <t>Coordination, stand-ups, delivery tracking</t>
  </si>
  <si>
    <t>Other standing assumptions</t>
  </si>
  <si>
    <t>Device hardware unit cost (INR)</t>
  </si>
  <si>
    <t>Working assumption for SGD ~45 unit at the FX rate. Refine on Shenzhen/India quotes.</t>
  </si>
  <si>
    <t>Device life (months)</t>
  </si>
  <si>
    <t>Amortisation period. Recycle-across-officers model assumed.</t>
  </si>
  <si>
    <t>SIM cost per device per month (INR)</t>
  </si>
  <si>
    <t>Target ~SGD 5.50 volume price (SimTel, 400+ SIMs). SGD 8 fallback if volume slips.</t>
  </si>
  <si>
    <t>Cloud hosting per device per month (INR)</t>
  </si>
  <si>
    <t>Azure Singapore, PDPA-compliant. Event storage, compute, monitoring.</t>
  </si>
  <si>
    <t>AI inference per device per month (INR)</t>
  </si>
  <si>
    <t>~200 queries/month/device @ constrained scope. Rises fast if scope creeps.</t>
  </si>
  <si>
    <t>Platform ops team monthly cost (INR)</t>
  </si>
  <si>
    <t>India-based support team, ~SGD 4,000/month. Two mid engineers + partial DevOps. Yellow: challenge first.</t>
  </si>
  <si>
    <t>Subscription price per device per month (SGD)</t>
  </si>
  <si>
    <t>Working assumption. Anchors break-even; refine after CIS pilot economics measured.</t>
  </si>
  <si>
    <t>Contingency % on one-off spend</t>
  </si>
  <si>
    <t>Timeline risk buffer, not padding.</t>
  </si>
  <si>
    <t>Software Build — Man-Days (India Team)</t>
  </si>
  <si>
    <t>Work packages × role × days × day rate. Day rates pulled from Assumptions.</t>
  </si>
  <si>
    <t>Work package</t>
  </si>
  <si>
    <t>Days</t>
  </si>
  <si>
    <t>Line INR</t>
  </si>
  <si>
    <t>Line SGD</t>
  </si>
  <si>
    <t>Scope note</t>
  </si>
  <si>
    <t>Discovery &amp; architecture</t>
  </si>
  <si>
    <t>System design, data model, integration points</t>
  </si>
  <si>
    <t>Journey maps for officer, control room, admin</t>
  </si>
  <si>
    <t>Officer wrist firmware</t>
  </si>
  <si>
    <t>Watch firmware, BLE, GPS, cellular, battery mgmt</t>
  </si>
  <si>
    <t>Bench + field test</t>
  </si>
  <si>
    <t>Officer companion / on-device UX</t>
  </si>
  <si>
    <t>Minimal companion app if device needs one</t>
  </si>
  <si>
    <t>Wrist UI patterns, 5–6 emergency prompts</t>
  </si>
  <si>
    <t>Control room console (web)</t>
  </si>
  <si>
    <t>Live map, alerts, incident timeline</t>
  </si>
  <si>
    <t>Table views, filters, drilldowns</t>
  </si>
  <si>
    <t>Console layout, alert states, RBAC surfaces</t>
  </si>
  <si>
    <t>Admin back-end</t>
  </si>
  <si>
    <t>Tenant setup, device provisioning, user mgmt</t>
  </si>
  <si>
    <t>Admin screens</t>
  </si>
  <si>
    <t>AI / RAG assistant + guardrails</t>
  </si>
  <si>
    <t>Emergency prompts, SOP retrieval, domain guardrails</t>
  </si>
  <si>
    <t>API layer, prompt routing, logging</t>
  </si>
  <si>
    <t>Cloud, DevOps, CI/CD</t>
  </si>
  <si>
    <t>Azure Singapore, Terraform, pipelines, PDPA-aware config</t>
  </si>
  <si>
    <t>Security review support</t>
  </si>
  <si>
    <t>Automation, regression suite, UAT support</t>
  </si>
  <si>
    <t>Project management</t>
  </si>
  <si>
    <t>Coordination, stand-ups, sprint reviews, tracking</t>
  </si>
  <si>
    <t>Tech lead ongoing (code review, unblock)</t>
  </si>
  <si>
    <t>Cross-package code review, architecture calls</t>
  </si>
  <si>
    <t>Sub-total (base build)</t>
  </si>
  <si>
    <t>Rework buffer (10%)</t>
  </si>
  <si>
    <t>Field-trial fixes, spec changes, integration surprises</t>
  </si>
  <si>
    <t>Man-days by role (roll-up)</t>
  </si>
  <si>
    <t>Total days</t>
  </si>
  <si>
    <t>Total INR</t>
  </si>
  <si>
    <t>Total SGD</t>
  </si>
  <si>
    <t>Check: sum matches base sub-total</t>
  </si>
  <si>
    <t>All figures INR primary; SGD converted at the Assumptions FX rate.</t>
  </si>
  <si>
    <t>Line item</t>
  </si>
  <si>
    <t>Low (INR)</t>
  </si>
  <si>
    <t>Likely (INR)</t>
  </si>
  <si>
    <t>Likely (SGD)</t>
  </si>
  <si>
    <t>Basis / note</t>
  </si>
  <si>
    <t>Software build (from Man-Days sheet)</t>
  </si>
  <si>
    <t>Base + 10% rework buffer. See Sheet 3 for role split.</t>
  </si>
  <si>
    <t>Device prototyping (India — 2 rounds)</t>
  </si>
  <si>
    <t>Design fees + 2 prototype batches (~20 units) + bench/field testing. Shenzhen would be similar in SGD.</t>
  </si>
  <si>
    <t>Security &amp; privacy reviews</t>
  </si>
  <si>
    <t>DPIA + counsel, external threat model, penetration test, supply-chain and OTA review.</t>
  </si>
  <si>
    <t>Agent + government + drafting. Mahesh prior filing ~INR 195k (SGD 3,000). Budget line: INR 325k (SGD 5,000).</t>
  </si>
  <si>
    <t>Cloud &amp; infrastructure setup (one-off)</t>
  </si>
  <si>
    <t>Azure Singapore tenant, Terraform baseline, CI/CD, monitoring — one-off setup only. Run costs on Sheet 5.</t>
  </si>
  <si>
    <t>Technical Director retainer (3–4 months)</t>
  </si>
  <si>
    <t>Sub-total (excl. retainer, excl. contingency)</t>
  </si>
  <si>
    <t>Contingency (see Assumptions %)</t>
  </si>
  <si>
    <t>Percentage set on Assumptions sheet.</t>
  </si>
  <si>
    <t>TOTAL one-off (excl. retainer)</t>
  </si>
  <si>
    <t>Retainer add-on (fill when agreed)</t>
  </si>
  <si>
    <t>Monthly retainer (SGD)</t>
  </si>
  <si>
    <t>Months on retainer during build</t>
  </si>
  <si>
    <t>Retainer sub-total (SGD)</t>
  </si>
  <si>
    <t>Retainer sub-total (INR)</t>
  </si>
  <si>
    <t>ALL-IN ONE-OFF (incl. retainer)</t>
  </si>
  <si>
    <t>Recurring Per-Device Monthly Cost</t>
  </si>
  <si>
    <t>What one wrist on one officer costs us per month, at three fleet sizes.</t>
  </si>
  <si>
    <t>Cost line</t>
  </si>
  <si>
    <t>Basis</t>
  </si>
  <si>
    <t>100 devices</t>
  </si>
  <si>
    <t>500 devices</t>
  </si>
  <si>
    <t>1,000 devices</t>
  </si>
  <si>
    <t>Note</t>
  </si>
  <si>
    <t>Hardware amortisation</t>
  </si>
  <si>
    <t>Unit INR / device life (months)</t>
  </si>
  <si>
    <t>Same at every fleet — a device costs what it costs</t>
  </si>
  <si>
    <t>SIM &amp; connectivity</t>
  </si>
  <si>
    <t>Target volume price</t>
  </si>
  <si>
    <t>Dexter negotiating on 400+ SIMs</t>
  </si>
  <si>
    <t>Cloud hosting</t>
  </si>
  <si>
    <t>Storage, compute, monitoring</t>
  </si>
  <si>
    <t>Azure Singapore, PDPA-compliant</t>
  </si>
  <si>
    <t>AI inference</t>
  </si>
  <si>
    <t>~200 queries/month/device</t>
  </si>
  <si>
    <t>Scope-constrained; rises fast if scope creeps</t>
  </si>
  <si>
    <t>Platform ops team (India)</t>
  </si>
  <si>
    <t>Monthly team cost / fleet size</t>
  </si>
  <si>
    <t>Falls sharply with scale. This line drives the whole per-device curve.</t>
  </si>
  <si>
    <t>TOTAL SGD per device / month</t>
  </si>
  <si>
    <t>Subscription pricing @ target margin</t>
  </si>
  <si>
    <t>Summary sheet reads D14 (500-fleet).</t>
  </si>
  <si>
    <t>Per-device SGD cost</t>
  </si>
  <si>
    <t>Price @ 50% margin (SGD)</t>
  </si>
  <si>
    <t>Price @ 70% margin (SGD)</t>
  </si>
  <si>
    <t>Working subscription price (Assumptions)</t>
  </si>
  <si>
    <t>Anchor for break-even model.</t>
  </si>
  <si>
    <t>Contribution / device / month (SGD)</t>
  </si>
  <si>
    <t>Break-even (SGD)</t>
  </si>
  <si>
    <t>Monthly cash from M1 to M24. Assumes CIS 100 devices at M4, linear to 500 by M12, flat after.</t>
  </si>
  <si>
    <t>Line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</si>
  <si>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</si>
  <si>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</si>
  <si>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</si>
  <si>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</si>
  <si>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</si>
  <si>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</si>
  <si>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</si>
  <si>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</si>
  <si>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</si>
  <si>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</si>
  <si>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</si>
  <si>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</si>
  <si>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</si>
  <si>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</si>
  <si>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</si>
  <si>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</si>
  <si>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</si>
  <si>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</si>
  <si>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</si>
  <si>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</si>
  <si>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</si>
  <si>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</si>
  <si>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</si>
  <si>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</si>
  <si>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Fleet size (devices)</t>
  </si>
  <si>
    <t>Contribution per device (SGD)</t>
  </si>
  <si>
    <t>Monthly revenue (SGD)</t>
  </si>
  <si>
    <t>Monthly cost (SGD)</t>
  </si>
  <si>
    <t>Monthly contribution (SGD)</t>
  </si>
  <si>
    <t>Cumulative cash (SGD)</t>
  </si>
  <si>
    <t>Cumulative cash (INR)</t>
  </si>
  <si>
    <t>Break-even indicators</t>
  </si>
  <si>
    <t>Monthly cash-positive from</t>
  </si>
  <si>
    <t>One-off spend recovered by</t>
  </si>
  <si>
    <t>Helper: monthly contrib flag</t>
  </si>
  <si>
    <t>Helper: cumulative flag</t>
  </si>
  <si>
    <t>Break-even is dynamic — change any assumption on Sheet 2 or fleet ramp in row 5 and rows 16 and 17 update.</t>
  </si>
  <si>
    <t>Sensitivity — the numbers that move the answer</t>
  </si>
  <si>
    <t>Change one input on Assumptions; watch break-even shift on Sheet 6.</t>
  </si>
  <si>
    <t>Swing</t>
  </si>
  <si>
    <t>Low case</t>
  </si>
  <si>
    <t>Base case</t>
  </si>
  <si>
    <t>High case</t>
  </si>
  <si>
    <t>What it does to the answer</t>
  </si>
  <si>
    <t>Unit hardware cost (INR)</t>
  </si>
  <si>
    <t>1,900 (SGD 30)</t>
  </si>
  <si>
    <t>2,900 (SGD 45)</t>
  </si>
  <si>
    <t>6,500 (SGD 100)</t>
  </si>
  <si>
    <t>Per-device cost moves ~SGD 5 at 500 fleet. Break-even slips ~1 month at worst. Least sensitive line.</t>
  </si>
  <si>
    <t>SIM price (INR / month)</t>
  </si>
  <si>
    <t>325 (SGD 5)</t>
  </si>
  <si>
    <t>360 (SGD 5.5)</t>
  </si>
  <si>
    <t>520 (SGD 8)</t>
  </si>
  <si>
    <t>~SGD 2.50 per device swing. Break-even shifts ~1 month; more if pricing is squeezed.</t>
  </si>
  <si>
    <t>Fleet by M12</t>
  </si>
  <si>
    <t>300 devices</t>
  </si>
  <si>
    <t>750 devices</t>
  </si>
  <si>
    <t>THE biggest swing. Payback moves from ~M19 (base) to ~M25 (low) or ~M15 (high). Ramp speed dominates everything else.</t>
  </si>
  <si>
    <t>AI inference (INR/device/mo)</t>
  </si>
  <si>
    <t>65 (SGD 1)</t>
  </si>
  <si>
    <t>130 (SGD 2)</t>
  </si>
  <si>
    <t>400 (SGD 6)</t>
  </si>
  <si>
    <t>Negligible at current scope. Material only if AI usage escapes guardrails and scope creeps.</t>
  </si>
  <si>
    <t>Platform team (INR/month)</t>
  </si>
  <si>
    <t>195,000 (SGD 3k)</t>
  </si>
  <si>
    <t>260,000 (SGD 4k)</t>
  </si>
  <si>
    <t>520,000 (SGD 8k)</t>
  </si>
  <si>
    <t>Second biggest swing. Every SGD 1k on the team pushes ~2 months into break-even. Largest recurring line.</t>
  </si>
  <si>
    <t>The uncomfortable finding</t>
  </si>
  <si>
    <t>The model is most sensitive to ramp speed and the platform team — both within our control — and least sensitive to hardware cost, where procurement attention naturally goes. Spend management attention where the numbers say.</t>
  </si>
  <si>
    <t>Cost Estimate</t>
  </si>
  <si>
    <t>Security Wearable Venture</t>
  </si>
  <si>
    <t>QA  end-to-end &amp; regression</t>
  </si>
  <si>
    <t xml:space="preserve">TOTAL software build </t>
  </si>
  <si>
    <t xml:space="preserve">One-off Build Cost </t>
  </si>
  <si>
    <t>Patent filing India</t>
  </si>
  <si>
    <t>agree monthly retainer, then fill in. Excluded from totals below.</t>
  </si>
  <si>
    <t xml:space="preserve">New Cost </t>
  </si>
  <si>
    <t>Per-device  cost (row 10)</t>
  </si>
  <si>
    <t>TOTAL  per device /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</si>
</sst>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\₹#,##0;&quot;(₹&quot;#,##0\);\-"/>
    <numFmt numFmtId="165" formatCode="&quot;S$&quot;#,##0;&quot;(S$&quot;#,##0\);\-"/>
    <numFmt numFmtId="166" formatCode="#,##0;\(#,##0\);\-"/>
    <numFmt numFmtId="167" formatCode="0.0%"/>
    <numFmt numFmtId="169" formatCode="_(&quot;$&quot;* #,##0_);_(&quot;$&quot;* \(#,##0\);_(&quot;$&quot;* &quot;-&quot;??_);_(@_)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i/>
      <sz val="9"/>
      <color rgb="FF595959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0000FF"/>
      <name val="Arial"/>
      <family val="2"/>
    </font>
    <font>
      <b/>
      <sz val="14"/>
      <name val="Arial"/>
      <family val="2"/>
    </font>
    <font>
      <i/>
      <sz val="9"/>
      <name val="Arial"/>
      <family val="2"/>
    </font>
    <font>
      <b/>
      <sz val="11"/>
      <color rgb="FF0000FF"/>
      <name val="Arial"/>
      <family val="2"/>
    </font>
    <font>
      <b/>
      <sz val="11"/>
      <color rgb="FFFFFFFF"/>
      <name val="Arial"/>
      <family val="2"/>
    </font>
    <font>
      <i/>
      <sz val="11"/>
      <color rgb="FFA0A0A0"/>
      <name val="Arial"/>
      <family val="2"/>
    </font>
    <font>
      <sz val="11"/>
      <color rgb="FFA0A0A0"/>
      <name val="Arial"/>
      <family val="2"/>
    </font>
    <font>
      <i/>
      <sz val="1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sz val="11"/>
      <color theme="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55">
    <xf numFmtId="0" fontId="0" fillId="0" borderId="0" xfId="0"/>
    <xf numFmtId="0" fontId="15" fillId="0" borderId="0" xfId="0" applyFont="1"/>
    <xf numFmtId="0" fontId="6" fillId="0" borderId="0" xfId="0" applyFont="1"/>
    <xf numFmtId="0" fontId="6" fillId="0" borderId="0" xfId="0" applyFont="1" applyAlignment="1">
      <alignment vertical="top" wrapText="1"/>
    </xf>
    <xf numFmtId="0" fontId="5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6" fillId="0" borderId="0" xfId="0" applyFont="1"/>
    <xf numFmtId="164" fontId="7" fillId="0" borderId="0" xfId="0" applyNumberFormat="1" applyFont="1"/>
    <xf numFmtId="165" fontId="7" fillId="0" borderId="0" xfId="0" applyNumberFormat="1" applyFont="1"/>
    <xf numFmtId="0" fontId="7" fillId="0" borderId="0" xfId="0" applyFont="1" applyAlignment="1">
      <alignment horizontal="right"/>
    </xf>
    <xf numFmtId="0" fontId="6" fillId="0" borderId="0" xfId="0" applyFont="1" applyAlignment="1">
      <alignment vertical="top" wrapText="1"/>
    </xf>
    <xf numFmtId="0" fontId="8" fillId="0" borderId="0" xfId="0" applyFont="1"/>
    <xf numFmtId="0" fontId="7" fillId="0" borderId="0" xfId="0" applyFont="1"/>
    <xf numFmtId="0" fontId="6" fillId="3" borderId="0" xfId="0" applyFont="1" applyFill="1"/>
    <xf numFmtId="0" fontId="5" fillId="0" borderId="0" xfId="0" applyFont="1"/>
    <xf numFmtId="0" fontId="9" fillId="0" borderId="0" xfId="0" applyFont="1"/>
    <xf numFmtId="0" fontId="10" fillId="0" borderId="0" xfId="0" applyFont="1"/>
    <xf numFmtId="2" fontId="11" fillId="3" borderId="0" xfId="0" applyNumberFormat="1" applyFont="1" applyFill="1"/>
    <xf numFmtId="166" fontId="8" fillId="0" borderId="0" xfId="0" applyNumberFormat="1" applyFont="1"/>
    <xf numFmtId="0" fontId="12" fillId="4" borderId="1" xfId="0" applyFont="1" applyFill="1" applyBorder="1" applyAlignment="1">
      <alignment horizontal="center" vertical="center" wrapText="1"/>
    </xf>
    <xf numFmtId="164" fontId="8" fillId="0" borderId="0" xfId="0" applyNumberFormat="1" applyFont="1"/>
    <xf numFmtId="165" fontId="6" fillId="0" borderId="0" xfId="0" applyNumberFormat="1" applyFont="1"/>
    <xf numFmtId="164" fontId="11" fillId="3" borderId="0" xfId="0" applyNumberFormat="1" applyFont="1" applyFill="1"/>
    <xf numFmtId="167" fontId="8" fillId="0" borderId="0" xfId="0" applyNumberFormat="1" applyFont="1"/>
    <xf numFmtId="164" fontId="6" fillId="0" borderId="0" xfId="0" applyNumberFormat="1" applyFont="1"/>
    <xf numFmtId="0" fontId="5" fillId="5" borderId="0" xfId="0" applyFont="1" applyFill="1"/>
    <xf numFmtId="166" fontId="5" fillId="5" borderId="0" xfId="0" applyNumberFormat="1" applyFont="1" applyFill="1"/>
    <xf numFmtId="164" fontId="5" fillId="5" borderId="0" xfId="0" applyNumberFormat="1" applyFont="1" applyFill="1"/>
    <xf numFmtId="165" fontId="5" fillId="5" borderId="0" xfId="0" applyNumberFormat="1" applyFont="1" applyFill="1"/>
    <xf numFmtId="166" fontId="6" fillId="0" borderId="0" xfId="0" applyNumberFormat="1" applyFont="1"/>
    <xf numFmtId="0" fontId="12" fillId="4" borderId="0" xfId="0" applyFont="1" applyFill="1"/>
    <xf numFmtId="166" fontId="12" fillId="4" borderId="0" xfId="0" applyNumberFormat="1" applyFont="1" applyFill="1"/>
    <xf numFmtId="164" fontId="12" fillId="4" borderId="0" xfId="0" applyNumberFormat="1" applyFont="1" applyFill="1"/>
    <xf numFmtId="165" fontId="12" fillId="4" borderId="0" xfId="0" applyNumberFormat="1" applyFont="1" applyFill="1"/>
    <xf numFmtId="165" fontId="11" fillId="3" borderId="0" xfId="0" applyNumberFormat="1" applyFont="1" applyFill="1"/>
    <xf numFmtId="0" fontId="13" fillId="0" borderId="0" xfId="0" applyFont="1"/>
    <xf numFmtId="166" fontId="14" fillId="0" borderId="0" xfId="0" applyNumberFormat="1" applyFont="1"/>
    <xf numFmtId="0" fontId="6" fillId="6" borderId="0" xfId="0" applyFont="1" applyFill="1"/>
    <xf numFmtId="166" fontId="8" fillId="6" borderId="0" xfId="0" applyNumberFormat="1" applyFont="1" applyFill="1"/>
    <xf numFmtId="164" fontId="7" fillId="6" borderId="0" xfId="0" applyNumberFormat="1" applyFont="1" applyFill="1"/>
    <xf numFmtId="165" fontId="7" fillId="6" borderId="0" xfId="0" applyNumberFormat="1" applyFont="1" applyFill="1"/>
    <xf numFmtId="164" fontId="6" fillId="6" borderId="0" xfId="0" applyNumberFormat="1" applyFont="1" applyFill="1"/>
    <xf numFmtId="165" fontId="6" fillId="6" borderId="0" xfId="0" applyNumberFormat="1" applyFont="1" applyFill="1"/>
    <xf numFmtId="165" fontId="0" fillId="0" borderId="0" xfId="0" applyNumberFormat="1"/>
    <xf numFmtId="164" fontId="8" fillId="6" borderId="0" xfId="0" applyNumberFormat="1" applyFont="1" applyFill="1"/>
    <xf numFmtId="0" fontId="6" fillId="6" borderId="0" xfId="0" applyFont="1" applyFill="1" applyAlignment="1">
      <alignment vertical="top" wrapText="1"/>
    </xf>
    <xf numFmtId="44" fontId="1" fillId="0" borderId="0" xfId="1"/>
    <xf numFmtId="169" fontId="17" fillId="7" borderId="0" xfId="1" applyNumberFormat="1" applyFont="1" applyFill="1"/>
    <xf numFmtId="0" fontId="18" fillId="0" borderId="0" xfId="0" applyFont="1"/>
    <xf numFmtId="164" fontId="18" fillId="0" borderId="0" xfId="0" applyNumberFormat="1" applyFont="1"/>
    <xf numFmtId="0" fontId="19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zoomScaleNormal="100" workbookViewId="0">
      <selection activeCell="C6" sqref="C6"/>
    </sheetView>
  </sheetViews>
  <sheetFormatPr baseColWidth="10" defaultColWidth="8.6640625" defaultRowHeight="15" x14ac:dyDescent="0.2"/>
  <cols>
    <col min="1" max="1" width="55" customWidth="1"/>
    <col min="2" max="3" width="20" customWidth="1"/>
    <col min="4" max="4" width="50" customWidth="1"/>
  </cols>
  <sheetData>
    <row r="1" spans="1:4" ht="20" x14ac:dyDescent="0.2">
      <c r="A1" s="5" t="s">
        <v>257</v>
      </c>
    </row>
    <row r="2" spans="1:4" x14ac:dyDescent="0.2">
      <c r="A2" s="6" t="s">
        <v>258</v>
      </c>
    </row>
    <row r="3" spans="1:4" x14ac:dyDescent="0.2">
      <c r="A3" s="7" t="s">
        <v>0</v>
      </c>
    </row>
    <row r="5" spans="1:4" x14ac:dyDescent="0.2">
      <c r="A5" s="8" t="s">
        <v>1</v>
      </c>
      <c r="B5" s="9" t="s">
        <v>2</v>
      </c>
      <c r="C5" s="9" t="s">
        <v>3</v>
      </c>
      <c r="D5" s="8" t="s">
        <v>4</v>
      </c>
    </row>
    <row r="6" spans="1:4" x14ac:dyDescent="0.2">
      <c r="A6" s="10" t="s">
        <v>5</v>
      </c>
      <c r="B6" s="11">
        <f>'4. One-off Build'!C13</f>
        <v>6379230</v>
      </c>
      <c r="C6" s="12">
        <f>'4. One-off Build'!D13</f>
        <v>85056.4</v>
      </c>
      <c r="D6" s="10" t="s">
        <v>6</v>
      </c>
    </row>
    <row r="7" spans="1:4" x14ac:dyDescent="0.2">
      <c r="A7" s="10" t="s">
        <v>7</v>
      </c>
      <c r="B7" s="11">
        <f>'3. Software Man-Days'!F26</f>
        <v>3886300</v>
      </c>
      <c r="C7" s="12">
        <f>'3. Software Man-Days'!G26</f>
        <v>51817.333333333328</v>
      </c>
      <c r="D7" s="10" t="s">
        <v>8</v>
      </c>
    </row>
    <row r="8" spans="1:4" x14ac:dyDescent="0.2">
      <c r="A8" s="10" t="s">
        <v>9</v>
      </c>
      <c r="B8" s="11">
        <f>'5. Per-Device Monthly'!D10</f>
        <v>18.666666666666668</v>
      </c>
      <c r="C8" s="12">
        <f>'5. Per-Device Monthly'!D11</f>
        <v>18.666666666666668</v>
      </c>
      <c r="D8" s="10" t="s">
        <v>10</v>
      </c>
    </row>
    <row r="9" spans="1:4" x14ac:dyDescent="0.2">
      <c r="A9" s="10" t="s">
        <v>11</v>
      </c>
      <c r="B9" s="13" t="str">
        <f>'6. Break-even'!B16</f>
        <v>M4</v>
      </c>
      <c r="D9" s="10" t="s">
        <v>12</v>
      </c>
    </row>
    <row r="10" spans="1:4" x14ac:dyDescent="0.2">
      <c r="A10" s="10" t="s">
        <v>13</v>
      </c>
      <c r="B10" s="13" t="str">
        <f>'6. Break-even'!B17</f>
        <v>M9</v>
      </c>
      <c r="D10" s="10" t="s">
        <v>14</v>
      </c>
    </row>
    <row r="13" spans="1:4" x14ac:dyDescent="0.2">
      <c r="A13" s="4" t="s">
        <v>15</v>
      </c>
      <c r="B13" s="4"/>
      <c r="C13" s="4"/>
      <c r="D13" s="4"/>
    </row>
    <row r="14" spans="1:4" x14ac:dyDescent="0.2">
      <c r="A14" s="15" t="s">
        <v>16</v>
      </c>
    </row>
    <row r="15" spans="1:4" x14ac:dyDescent="0.2">
      <c r="A15" s="10" t="s">
        <v>17</v>
      </c>
    </row>
    <row r="16" spans="1:4" x14ac:dyDescent="0.2">
      <c r="A16" s="16" t="s">
        <v>18</v>
      </c>
    </row>
    <row r="17" spans="1:4" x14ac:dyDescent="0.2">
      <c r="A17" s="17" t="s">
        <v>19</v>
      </c>
    </row>
    <row r="19" spans="1:4" x14ac:dyDescent="0.2">
      <c r="A19" s="4" t="s">
        <v>20</v>
      </c>
      <c r="B19" s="4"/>
      <c r="C19" s="4"/>
      <c r="D19" s="4"/>
    </row>
    <row r="20" spans="1:4" x14ac:dyDescent="0.2">
      <c r="A20" s="18" t="s">
        <v>21</v>
      </c>
      <c r="B20" s="2" t="s">
        <v>22</v>
      </c>
      <c r="C20" s="2"/>
      <c r="D20" s="2"/>
    </row>
    <row r="21" spans="1:4" x14ac:dyDescent="0.2">
      <c r="A21" s="18" t="s">
        <v>23</v>
      </c>
      <c r="B21" s="2" t="s">
        <v>24</v>
      </c>
      <c r="C21" s="2"/>
      <c r="D21" s="2"/>
    </row>
    <row r="22" spans="1:4" x14ac:dyDescent="0.2">
      <c r="A22" s="18" t="s">
        <v>25</v>
      </c>
      <c r="B22" s="2" t="s">
        <v>26</v>
      </c>
      <c r="C22" s="2"/>
      <c r="D22" s="2"/>
    </row>
    <row r="23" spans="1:4" x14ac:dyDescent="0.2">
      <c r="A23" s="18" t="s">
        <v>27</v>
      </c>
      <c r="B23" s="2" t="s">
        <v>28</v>
      </c>
      <c r="C23" s="2"/>
      <c r="D23" s="2"/>
    </row>
    <row r="24" spans="1:4" x14ac:dyDescent="0.2">
      <c r="A24" s="18" t="s">
        <v>29</v>
      </c>
      <c r="B24" s="2" t="s">
        <v>30</v>
      </c>
      <c r="C24" s="2"/>
      <c r="D24" s="2"/>
    </row>
    <row r="25" spans="1:4" x14ac:dyDescent="0.2">
      <c r="A25" s="18" t="s">
        <v>31</v>
      </c>
      <c r="B25" s="2" t="s">
        <v>32</v>
      </c>
      <c r="C25" s="2"/>
      <c r="D25" s="2"/>
    </row>
  </sheetData>
  <mergeCells count="8">
    <mergeCell ref="B24:D24"/>
    <mergeCell ref="B25:D25"/>
    <mergeCell ref="A19:D19"/>
    <mergeCell ref="B20:D20"/>
    <mergeCell ref="B21:D21"/>
    <mergeCell ref="B22:D22"/>
    <mergeCell ref="B23:D23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zoomScaleNormal="100" workbookViewId="0">
      <pane ySplit="3" topLeftCell="A6" activePane="bottomLeft" state="frozen"/>
      <selection pane="bottomLeft" activeCell="B31" sqref="B31"/>
    </sheetView>
  </sheetViews>
  <sheetFormatPr baseColWidth="10" defaultColWidth="8.6640625" defaultRowHeight="15" x14ac:dyDescent="0.2"/>
  <cols>
    <col min="1" max="1" width="42" customWidth="1"/>
    <col min="2" max="3" width="15" customWidth="1"/>
    <col min="4" max="4" width="45" customWidth="1"/>
  </cols>
  <sheetData>
    <row r="1" spans="1:4" ht="18" x14ac:dyDescent="0.2">
      <c r="A1" s="19" t="s">
        <v>33</v>
      </c>
    </row>
    <row r="2" spans="1:4" x14ac:dyDescent="0.2">
      <c r="A2" s="20" t="s">
        <v>34</v>
      </c>
    </row>
    <row r="4" spans="1:4" x14ac:dyDescent="0.2">
      <c r="A4" s="4" t="s">
        <v>35</v>
      </c>
      <c r="B4" s="4"/>
      <c r="C4" s="4"/>
      <c r="D4" s="4"/>
    </row>
    <row r="5" spans="1:4" x14ac:dyDescent="0.2">
      <c r="A5" s="10" t="s">
        <v>36</v>
      </c>
      <c r="B5" s="21">
        <v>75</v>
      </c>
      <c r="D5" s="10" t="s">
        <v>37</v>
      </c>
    </row>
    <row r="7" spans="1:4" x14ac:dyDescent="0.2">
      <c r="A7" s="4" t="s">
        <v>38</v>
      </c>
      <c r="B7" s="4"/>
      <c r="C7" s="4"/>
      <c r="D7" s="4"/>
    </row>
    <row r="8" spans="1:4" x14ac:dyDescent="0.2">
      <c r="A8" s="10" t="s">
        <v>39</v>
      </c>
      <c r="B8" s="22">
        <v>21</v>
      </c>
      <c r="D8" s="10" t="s">
        <v>40</v>
      </c>
    </row>
    <row r="10" spans="1:4" x14ac:dyDescent="0.2">
      <c r="A10" s="4" t="s">
        <v>41</v>
      </c>
      <c r="B10" s="4"/>
      <c r="C10" s="4"/>
      <c r="D10" s="4"/>
    </row>
    <row r="11" spans="1:4" ht="27.75" customHeight="1" x14ac:dyDescent="0.2">
      <c r="A11" s="23" t="s">
        <v>42</v>
      </c>
      <c r="B11" s="23" t="s">
        <v>43</v>
      </c>
      <c r="C11" s="23" t="s">
        <v>44</v>
      </c>
      <c r="D11" s="23" t="s">
        <v>4</v>
      </c>
    </row>
    <row r="12" spans="1:4" x14ac:dyDescent="0.2">
      <c r="A12" s="10" t="s">
        <v>45</v>
      </c>
      <c r="B12" s="24">
        <v>15000</v>
      </c>
      <c r="C12" s="25">
        <f t="shared" ref="C12:C22" si="0">B12/$B$5</f>
        <v>200</v>
      </c>
      <c r="D12" s="10" t="s">
        <v>46</v>
      </c>
    </row>
    <row r="13" spans="1:4" x14ac:dyDescent="0.2">
      <c r="A13" s="10" t="s">
        <v>47</v>
      </c>
      <c r="B13" s="24">
        <v>10000</v>
      </c>
      <c r="C13" s="25">
        <f t="shared" si="0"/>
        <v>133.33333333333334</v>
      </c>
      <c r="D13" s="10" t="s">
        <v>48</v>
      </c>
    </row>
    <row r="14" spans="1:4" x14ac:dyDescent="0.2">
      <c r="A14" s="10" t="s">
        <v>49</v>
      </c>
      <c r="B14" s="24">
        <v>6000</v>
      </c>
      <c r="C14" s="25">
        <f t="shared" si="0"/>
        <v>80</v>
      </c>
      <c r="D14" s="10" t="s">
        <v>50</v>
      </c>
    </row>
    <row r="15" spans="1:4" x14ac:dyDescent="0.2">
      <c r="A15" s="10" t="s">
        <v>51</v>
      </c>
      <c r="B15" s="24">
        <v>12000</v>
      </c>
      <c r="C15" s="25">
        <f t="shared" si="0"/>
        <v>160</v>
      </c>
      <c r="D15" s="10" t="s">
        <v>52</v>
      </c>
    </row>
    <row r="16" spans="1:4" x14ac:dyDescent="0.2">
      <c r="A16" s="10" t="s">
        <v>53</v>
      </c>
      <c r="B16" s="24">
        <v>12000</v>
      </c>
      <c r="C16" s="25">
        <f t="shared" si="0"/>
        <v>160</v>
      </c>
      <c r="D16" s="10" t="s">
        <v>54</v>
      </c>
    </row>
    <row r="17" spans="1:10" x14ac:dyDescent="0.2">
      <c r="A17" s="10" t="s">
        <v>55</v>
      </c>
      <c r="B17" s="24">
        <v>8000</v>
      </c>
      <c r="C17" s="25">
        <f t="shared" si="0"/>
        <v>106.66666666666667</v>
      </c>
      <c r="D17" s="10" t="s">
        <v>56</v>
      </c>
    </row>
    <row r="18" spans="1:10" x14ac:dyDescent="0.2">
      <c r="A18" s="10" t="s">
        <v>57</v>
      </c>
      <c r="B18" s="24">
        <v>10000</v>
      </c>
      <c r="C18" s="25">
        <f t="shared" si="0"/>
        <v>133.33333333333334</v>
      </c>
      <c r="D18" s="10" t="s">
        <v>58</v>
      </c>
    </row>
    <row r="19" spans="1:10" x14ac:dyDescent="0.2">
      <c r="A19" s="10" t="s">
        <v>59</v>
      </c>
      <c r="B19" s="24">
        <v>7000</v>
      </c>
      <c r="C19" s="25">
        <f t="shared" si="0"/>
        <v>93.333333333333329</v>
      </c>
      <c r="D19" s="10" t="s">
        <v>60</v>
      </c>
    </row>
    <row r="20" spans="1:10" x14ac:dyDescent="0.2">
      <c r="A20" s="10" t="s">
        <v>61</v>
      </c>
      <c r="B20" s="24">
        <v>5000</v>
      </c>
      <c r="C20" s="25">
        <f t="shared" si="0"/>
        <v>66.666666666666671</v>
      </c>
      <c r="D20" s="10" t="s">
        <v>62</v>
      </c>
    </row>
    <row r="21" spans="1:10" x14ac:dyDescent="0.2">
      <c r="A21" s="10" t="s">
        <v>63</v>
      </c>
      <c r="B21" s="24">
        <v>18000</v>
      </c>
      <c r="C21" s="25">
        <f t="shared" si="0"/>
        <v>240</v>
      </c>
      <c r="D21" s="10" t="s">
        <v>64</v>
      </c>
    </row>
    <row r="22" spans="1:10" x14ac:dyDescent="0.2">
      <c r="A22" s="10" t="s">
        <v>65</v>
      </c>
      <c r="B22" s="24">
        <v>8000</v>
      </c>
      <c r="C22" s="25">
        <f t="shared" si="0"/>
        <v>106.66666666666667</v>
      </c>
      <c r="D22" s="10" t="s">
        <v>66</v>
      </c>
    </row>
    <row r="24" spans="1:10" x14ac:dyDescent="0.2">
      <c r="A24" s="4" t="s">
        <v>67</v>
      </c>
      <c r="B24" s="4"/>
      <c r="C24" s="4"/>
      <c r="D24" s="4"/>
    </row>
    <row r="25" spans="1:10" x14ac:dyDescent="0.2">
      <c r="A25" s="10" t="s">
        <v>68</v>
      </c>
      <c r="B25" s="50">
        <v>40</v>
      </c>
      <c r="D25" s="10" t="s">
        <v>69</v>
      </c>
      <c r="J25">
        <f>B25/75</f>
        <v>0.53333333333333333</v>
      </c>
    </row>
    <row r="26" spans="1:10" x14ac:dyDescent="0.2">
      <c r="A26" s="10" t="s">
        <v>70</v>
      </c>
      <c r="B26" s="22">
        <v>24</v>
      </c>
      <c r="D26" s="10" t="s">
        <v>71</v>
      </c>
    </row>
    <row r="27" spans="1:10" x14ac:dyDescent="0.2">
      <c r="A27" s="10" t="s">
        <v>72</v>
      </c>
      <c r="B27" s="50">
        <v>6</v>
      </c>
      <c r="D27" s="10" t="s">
        <v>73</v>
      </c>
      <c r="J27">
        <f>B27/75</f>
        <v>0.08</v>
      </c>
    </row>
    <row r="28" spans="1:10" x14ac:dyDescent="0.2">
      <c r="A28" s="10" t="s">
        <v>74</v>
      </c>
      <c r="B28" s="50">
        <v>2</v>
      </c>
      <c r="D28" s="10" t="s">
        <v>75</v>
      </c>
      <c r="J28">
        <f>B28/75</f>
        <v>2.6666666666666668E-2</v>
      </c>
    </row>
    <row r="29" spans="1:10" x14ac:dyDescent="0.2">
      <c r="A29" s="10" t="s">
        <v>76</v>
      </c>
      <c r="B29" s="50">
        <v>1</v>
      </c>
      <c r="D29" s="10" t="s">
        <v>77</v>
      </c>
      <c r="J29">
        <f>B29/75</f>
        <v>1.3333333333333334E-2</v>
      </c>
    </row>
    <row r="30" spans="1:10" x14ac:dyDescent="0.2">
      <c r="A30" s="10" t="s">
        <v>78</v>
      </c>
      <c r="B30" s="26">
        <v>4000</v>
      </c>
      <c r="D30" s="10" t="s">
        <v>79</v>
      </c>
      <c r="J30">
        <f>B30/75</f>
        <v>53.333333333333336</v>
      </c>
    </row>
    <row r="31" spans="1:10" x14ac:dyDescent="0.2">
      <c r="A31" s="10" t="s">
        <v>80</v>
      </c>
      <c r="B31" s="22">
        <v>75</v>
      </c>
      <c r="D31" s="10" t="s">
        <v>81</v>
      </c>
    </row>
    <row r="32" spans="1:10" x14ac:dyDescent="0.2">
      <c r="A32" s="10" t="s">
        <v>82</v>
      </c>
      <c r="B32" s="27">
        <v>0.1</v>
      </c>
      <c r="D32" s="10" t="s">
        <v>83</v>
      </c>
    </row>
  </sheetData>
  <mergeCells count="4">
    <mergeCell ref="A4:D4"/>
    <mergeCell ref="A7:D7"/>
    <mergeCell ref="A10:D10"/>
    <mergeCell ref="A24:D2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tabSelected="1" zoomScaleNormal="100" workbookViewId="0">
      <pane ySplit="4" topLeftCell="A5" activePane="bottomLeft" state="frozen"/>
      <selection pane="bottomLeft" activeCell="E27" sqref="E27"/>
    </sheetView>
  </sheetViews>
  <sheetFormatPr baseColWidth="10" defaultColWidth="8.6640625" defaultRowHeight="15" x14ac:dyDescent="0.2"/>
  <cols>
    <col min="1" max="1" width="45" customWidth="1"/>
    <col min="2" max="2" width="26" customWidth="1"/>
    <col min="3" max="3" width="10" customWidth="1"/>
    <col min="4" max="5" width="14" customWidth="1"/>
    <col min="6" max="7" width="15" customWidth="1"/>
    <col min="8" max="8" width="45" customWidth="1"/>
  </cols>
  <sheetData>
    <row r="1" spans="1:8" ht="18" x14ac:dyDescent="0.2">
      <c r="A1" s="19" t="s">
        <v>84</v>
      </c>
    </row>
    <row r="2" spans="1:8" x14ac:dyDescent="0.2">
      <c r="A2" s="20" t="s">
        <v>85</v>
      </c>
    </row>
    <row r="4" spans="1:8" ht="27.75" customHeight="1" x14ac:dyDescent="0.2">
      <c r="A4" s="23" t="s">
        <v>86</v>
      </c>
      <c r="B4" s="23" t="s">
        <v>42</v>
      </c>
      <c r="C4" s="23" t="s">
        <v>87</v>
      </c>
      <c r="D4" s="23" t="s">
        <v>43</v>
      </c>
      <c r="E4" s="23" t="s">
        <v>44</v>
      </c>
      <c r="F4" s="23" t="s">
        <v>88</v>
      </c>
      <c r="G4" s="23" t="s">
        <v>89</v>
      </c>
      <c r="H4" s="23" t="s">
        <v>90</v>
      </c>
    </row>
    <row r="5" spans="1:8" x14ac:dyDescent="0.2">
      <c r="A5" s="41" t="s">
        <v>91</v>
      </c>
      <c r="B5" s="41" t="s">
        <v>45</v>
      </c>
      <c r="C5" s="42">
        <v>12</v>
      </c>
      <c r="D5" s="43">
        <f>'2. Assumptions'!$B$12</f>
        <v>15000</v>
      </c>
      <c r="E5" s="44">
        <f>'2. Assumptions'!$C$12</f>
        <v>200</v>
      </c>
      <c r="F5" s="45">
        <f t="shared" ref="F5:F22" si="0">C5*D5</f>
        <v>180000</v>
      </c>
      <c r="G5" s="46">
        <f>F5/'2. Assumptions'!$B$5</f>
        <v>2400</v>
      </c>
      <c r="H5" s="41" t="s">
        <v>92</v>
      </c>
    </row>
    <row r="6" spans="1:8" x14ac:dyDescent="0.2">
      <c r="A6" s="41" t="s">
        <v>91</v>
      </c>
      <c r="B6" s="41" t="s">
        <v>59</v>
      </c>
      <c r="C6" s="42">
        <v>6</v>
      </c>
      <c r="D6" s="43">
        <f>'2. Assumptions'!$B$19</f>
        <v>7000</v>
      </c>
      <c r="E6" s="44">
        <f>'2. Assumptions'!$C$19</f>
        <v>93.333333333333329</v>
      </c>
      <c r="F6" s="45">
        <f t="shared" si="0"/>
        <v>42000</v>
      </c>
      <c r="G6" s="46">
        <f>F6/'2. Assumptions'!$B$5</f>
        <v>560</v>
      </c>
      <c r="H6" s="41" t="s">
        <v>93</v>
      </c>
    </row>
    <row r="7" spans="1:8" x14ac:dyDescent="0.2">
      <c r="A7" s="10" t="s">
        <v>94</v>
      </c>
      <c r="B7" s="10" t="s">
        <v>51</v>
      </c>
      <c r="C7" s="22">
        <v>55</v>
      </c>
      <c r="D7" s="11">
        <f>'2. Assumptions'!$B$15</f>
        <v>12000</v>
      </c>
      <c r="E7" s="12">
        <f>'2. Assumptions'!$C$15</f>
        <v>160</v>
      </c>
      <c r="F7" s="28">
        <f t="shared" si="0"/>
        <v>660000</v>
      </c>
      <c r="G7" s="25">
        <f>F7/'2. Assumptions'!$B$5</f>
        <v>8800</v>
      </c>
      <c r="H7" s="10" t="s">
        <v>95</v>
      </c>
    </row>
    <row r="8" spans="1:8" x14ac:dyDescent="0.2">
      <c r="A8" s="10" t="s">
        <v>94</v>
      </c>
      <c r="B8" s="10" t="s">
        <v>61</v>
      </c>
      <c r="C8" s="22">
        <v>15</v>
      </c>
      <c r="D8" s="11">
        <f>'2. Assumptions'!$B$20</f>
        <v>5000</v>
      </c>
      <c r="E8" s="12">
        <f>'2. Assumptions'!$C$20</f>
        <v>66.666666666666671</v>
      </c>
      <c r="F8" s="28">
        <f t="shared" si="0"/>
        <v>75000</v>
      </c>
      <c r="G8" s="25">
        <f>F8/'2. Assumptions'!$B$5</f>
        <v>1000</v>
      </c>
      <c r="H8" s="10" t="s">
        <v>96</v>
      </c>
    </row>
    <row r="9" spans="1:8" x14ac:dyDescent="0.2">
      <c r="A9" s="10" t="s">
        <v>97</v>
      </c>
      <c r="B9" s="10" t="s">
        <v>55</v>
      </c>
      <c r="C9" s="22">
        <v>15</v>
      </c>
      <c r="D9" s="11">
        <f>'2. Assumptions'!$B$17</f>
        <v>8000</v>
      </c>
      <c r="E9" s="12">
        <f>'2. Assumptions'!$C$17</f>
        <v>106.66666666666667</v>
      </c>
      <c r="F9" s="28">
        <f t="shared" si="0"/>
        <v>120000</v>
      </c>
      <c r="G9" s="25">
        <f>F9/'2. Assumptions'!$B$5</f>
        <v>1600</v>
      </c>
      <c r="H9" s="10" t="s">
        <v>98</v>
      </c>
    </row>
    <row r="10" spans="1:8" x14ac:dyDescent="0.2">
      <c r="A10" s="10" t="s">
        <v>97</v>
      </c>
      <c r="B10" s="10" t="s">
        <v>59</v>
      </c>
      <c r="C10" s="22">
        <v>6</v>
      </c>
      <c r="D10" s="11">
        <f>'2. Assumptions'!$B$19</f>
        <v>7000</v>
      </c>
      <c r="E10" s="12">
        <f>'2. Assumptions'!$C$19</f>
        <v>93.333333333333329</v>
      </c>
      <c r="F10" s="28">
        <f t="shared" si="0"/>
        <v>42000</v>
      </c>
      <c r="G10" s="25">
        <f>F10/'2. Assumptions'!$B$5</f>
        <v>560</v>
      </c>
      <c r="H10" s="10" t="s">
        <v>99</v>
      </c>
    </row>
    <row r="11" spans="1:8" x14ac:dyDescent="0.2">
      <c r="A11" s="10" t="s">
        <v>100</v>
      </c>
      <c r="B11" s="10" t="s">
        <v>47</v>
      </c>
      <c r="C11" s="22">
        <v>35</v>
      </c>
      <c r="D11" s="11">
        <f>'2. Assumptions'!$B$13</f>
        <v>10000</v>
      </c>
      <c r="E11" s="12">
        <f>'2. Assumptions'!$C$13</f>
        <v>133.33333333333334</v>
      </c>
      <c r="F11" s="28">
        <f t="shared" si="0"/>
        <v>350000</v>
      </c>
      <c r="G11" s="25">
        <f>F11/'2. Assumptions'!$B$5</f>
        <v>4666.666666666667</v>
      </c>
      <c r="H11" s="10" t="s">
        <v>101</v>
      </c>
    </row>
    <row r="12" spans="1:8" x14ac:dyDescent="0.2">
      <c r="A12" s="10" t="s">
        <v>100</v>
      </c>
      <c r="B12" s="10" t="s">
        <v>49</v>
      </c>
      <c r="C12" s="22">
        <v>25</v>
      </c>
      <c r="D12" s="11">
        <f>'2. Assumptions'!$B$14</f>
        <v>6000</v>
      </c>
      <c r="E12" s="12">
        <f>'2. Assumptions'!$C$14</f>
        <v>80</v>
      </c>
      <c r="F12" s="28">
        <f t="shared" si="0"/>
        <v>150000</v>
      </c>
      <c r="G12" s="25">
        <f>F12/'2. Assumptions'!$B$5</f>
        <v>2000</v>
      </c>
      <c r="H12" s="10" t="s">
        <v>102</v>
      </c>
    </row>
    <row r="13" spans="1:8" x14ac:dyDescent="0.2">
      <c r="A13" s="10" t="s">
        <v>100</v>
      </c>
      <c r="B13" s="10" t="s">
        <v>59</v>
      </c>
      <c r="C13" s="22">
        <v>10</v>
      </c>
      <c r="D13" s="11">
        <f>'2. Assumptions'!$B$19</f>
        <v>7000</v>
      </c>
      <c r="E13" s="12">
        <f>'2. Assumptions'!$C$19</f>
        <v>93.333333333333329</v>
      </c>
      <c r="F13" s="28">
        <f t="shared" si="0"/>
        <v>70000</v>
      </c>
      <c r="G13" s="25">
        <f>F13/'2. Assumptions'!$B$5</f>
        <v>933.33333333333337</v>
      </c>
      <c r="H13" s="10" t="s">
        <v>103</v>
      </c>
    </row>
    <row r="14" spans="1:8" x14ac:dyDescent="0.2">
      <c r="A14" s="10" t="s">
        <v>104</v>
      </c>
      <c r="B14" s="10" t="s">
        <v>49</v>
      </c>
      <c r="C14" s="22">
        <v>25</v>
      </c>
      <c r="D14" s="11">
        <f>'2. Assumptions'!$B$14</f>
        <v>6000</v>
      </c>
      <c r="E14" s="12">
        <f>'2. Assumptions'!$C$14</f>
        <v>80</v>
      </c>
      <c r="F14" s="28">
        <f t="shared" si="0"/>
        <v>150000</v>
      </c>
      <c r="G14" s="25">
        <f>F14/'2. Assumptions'!$B$5</f>
        <v>2000</v>
      </c>
      <c r="H14" s="10" t="s">
        <v>105</v>
      </c>
    </row>
    <row r="15" spans="1:8" x14ac:dyDescent="0.2">
      <c r="A15" s="10" t="s">
        <v>104</v>
      </c>
      <c r="B15" s="10" t="s">
        <v>59</v>
      </c>
      <c r="C15" s="22">
        <v>5</v>
      </c>
      <c r="D15" s="11">
        <f>'2. Assumptions'!$B$19</f>
        <v>7000</v>
      </c>
      <c r="E15" s="12">
        <f>'2. Assumptions'!$C$19</f>
        <v>93.333333333333329</v>
      </c>
      <c r="F15" s="28">
        <f t="shared" si="0"/>
        <v>35000</v>
      </c>
      <c r="G15" s="25">
        <f>F15/'2. Assumptions'!$B$5</f>
        <v>466.66666666666669</v>
      </c>
      <c r="H15" s="10" t="s">
        <v>106</v>
      </c>
    </row>
    <row r="16" spans="1:8" x14ac:dyDescent="0.2">
      <c r="A16" s="41" t="s">
        <v>107</v>
      </c>
      <c r="B16" s="41" t="s">
        <v>53</v>
      </c>
      <c r="C16" s="42">
        <v>35</v>
      </c>
      <c r="D16" s="43">
        <f>'2. Assumptions'!$B$16</f>
        <v>12000</v>
      </c>
      <c r="E16" s="44">
        <f>'2. Assumptions'!$C$16</f>
        <v>160</v>
      </c>
      <c r="F16" s="45">
        <f t="shared" si="0"/>
        <v>420000</v>
      </c>
      <c r="G16" s="46">
        <f>F16/'2. Assumptions'!$B$5</f>
        <v>5600</v>
      </c>
      <c r="H16" s="41" t="s">
        <v>108</v>
      </c>
    </row>
    <row r="17" spans="1:9" x14ac:dyDescent="0.2">
      <c r="A17" s="41" t="s">
        <v>107</v>
      </c>
      <c r="B17" s="41" t="s">
        <v>47</v>
      </c>
      <c r="C17" s="42">
        <v>10</v>
      </c>
      <c r="D17" s="43">
        <f>'2. Assumptions'!$B$13</f>
        <v>10000</v>
      </c>
      <c r="E17" s="44">
        <f>'2. Assumptions'!$C$13</f>
        <v>133.33333333333334</v>
      </c>
      <c r="F17" s="45">
        <f t="shared" si="0"/>
        <v>100000</v>
      </c>
      <c r="G17" s="46">
        <f>F17/'2. Assumptions'!$B$5</f>
        <v>1333.3333333333333</v>
      </c>
      <c r="H17" s="41" t="s">
        <v>109</v>
      </c>
    </row>
    <row r="18" spans="1:9" x14ac:dyDescent="0.2">
      <c r="A18" s="10" t="s">
        <v>110</v>
      </c>
      <c r="B18" s="10" t="s">
        <v>57</v>
      </c>
      <c r="C18" s="22">
        <v>25</v>
      </c>
      <c r="D18" s="11">
        <f>'2. Assumptions'!$B$18</f>
        <v>10000</v>
      </c>
      <c r="E18" s="12">
        <f>'2. Assumptions'!$C$18</f>
        <v>133.33333333333334</v>
      </c>
      <c r="F18" s="28">
        <f t="shared" si="0"/>
        <v>250000</v>
      </c>
      <c r="G18" s="25">
        <f>F18/'2. Assumptions'!$B$5</f>
        <v>3333.3333333333335</v>
      </c>
      <c r="H18" s="10" t="s">
        <v>111</v>
      </c>
    </row>
    <row r="19" spans="1:9" x14ac:dyDescent="0.2">
      <c r="A19" s="10" t="s">
        <v>112</v>
      </c>
      <c r="B19" s="10" t="s">
        <v>63</v>
      </c>
      <c r="C19" s="22">
        <v>8</v>
      </c>
      <c r="D19" s="11">
        <f>'2. Assumptions'!$B$21</f>
        <v>18000</v>
      </c>
      <c r="E19" s="12">
        <f>'2. Assumptions'!$C$21</f>
        <v>240</v>
      </c>
      <c r="F19" s="28">
        <f t="shared" si="0"/>
        <v>144000</v>
      </c>
      <c r="G19" s="25">
        <f>F19/'2. Assumptions'!$B$5</f>
        <v>1920</v>
      </c>
      <c r="H19" s="10" t="s">
        <v>64</v>
      </c>
    </row>
    <row r="20" spans="1:9" x14ac:dyDescent="0.2">
      <c r="A20" s="10" t="s">
        <v>259</v>
      </c>
      <c r="B20" s="10" t="s">
        <v>61</v>
      </c>
      <c r="C20" s="22">
        <v>25</v>
      </c>
      <c r="D20" s="11">
        <f>'2. Assumptions'!$B$20</f>
        <v>5000</v>
      </c>
      <c r="E20" s="12">
        <f>'2. Assumptions'!$C$20</f>
        <v>66.666666666666671</v>
      </c>
      <c r="F20" s="28">
        <f t="shared" si="0"/>
        <v>125000</v>
      </c>
      <c r="G20" s="25">
        <f>F20/'2. Assumptions'!$B$5</f>
        <v>1666.6666666666667</v>
      </c>
      <c r="H20" s="10" t="s">
        <v>113</v>
      </c>
    </row>
    <row r="21" spans="1:9" x14ac:dyDescent="0.2">
      <c r="A21" s="41" t="s">
        <v>114</v>
      </c>
      <c r="B21" s="41" t="s">
        <v>65</v>
      </c>
      <c r="C21" s="42">
        <v>40</v>
      </c>
      <c r="D21" s="43">
        <f>'2. Assumptions'!$B$22</f>
        <v>8000</v>
      </c>
      <c r="E21" s="44">
        <f>'2. Assumptions'!$C$22</f>
        <v>106.66666666666667</v>
      </c>
      <c r="F21" s="45">
        <f t="shared" si="0"/>
        <v>320000</v>
      </c>
      <c r="G21" s="46">
        <f>F21/'2. Assumptions'!$B$5</f>
        <v>4266.666666666667</v>
      </c>
      <c r="H21" s="41" t="s">
        <v>115</v>
      </c>
    </row>
    <row r="22" spans="1:9" x14ac:dyDescent="0.2">
      <c r="A22" s="41" t="s">
        <v>116</v>
      </c>
      <c r="B22" s="41" t="s">
        <v>45</v>
      </c>
      <c r="C22" s="42">
        <v>20</v>
      </c>
      <c r="D22" s="43">
        <f>'2. Assumptions'!$B$12</f>
        <v>15000</v>
      </c>
      <c r="E22" s="44">
        <f>'2. Assumptions'!$C$12</f>
        <v>200</v>
      </c>
      <c r="F22" s="45">
        <f t="shared" si="0"/>
        <v>300000</v>
      </c>
      <c r="G22" s="46">
        <f>F22/'2. Assumptions'!$B$5</f>
        <v>4000</v>
      </c>
      <c r="H22" s="41" t="s">
        <v>117</v>
      </c>
    </row>
    <row r="24" spans="1:9" x14ac:dyDescent="0.2">
      <c r="A24" s="29" t="s">
        <v>118</v>
      </c>
      <c r="B24" s="29"/>
      <c r="C24" s="30">
        <f>SUM(C5:C22)</f>
        <v>372</v>
      </c>
      <c r="D24" s="29"/>
      <c r="E24" s="29"/>
      <c r="F24" s="31">
        <f>SUM(F5:F22)</f>
        <v>3533000</v>
      </c>
      <c r="G24" s="32">
        <f>SUM(G5:G22)</f>
        <v>47106.666666666664</v>
      </c>
    </row>
    <row r="25" spans="1:9" x14ac:dyDescent="0.2">
      <c r="A25" s="10" t="s">
        <v>119</v>
      </c>
      <c r="C25" s="33">
        <f>ROUND(C24*0.1,0)</f>
        <v>37</v>
      </c>
      <c r="F25" s="28">
        <f>ROUND(F24*0.1,0)</f>
        <v>353300</v>
      </c>
      <c r="G25" s="25">
        <f>F25/'2. Assumptions'!$B$5</f>
        <v>4710.666666666667</v>
      </c>
      <c r="H25" s="10" t="s">
        <v>120</v>
      </c>
    </row>
    <row r="26" spans="1:9" x14ac:dyDescent="0.2">
      <c r="A26" s="34" t="s">
        <v>260</v>
      </c>
      <c r="B26" s="34"/>
      <c r="C26" s="35">
        <f>C24+C25</f>
        <v>409</v>
      </c>
      <c r="D26" s="34"/>
      <c r="E26" s="34"/>
      <c r="F26" s="36">
        <f>F24+F25</f>
        <v>3886300</v>
      </c>
      <c r="G26" s="37">
        <f>G24+G25</f>
        <v>51817.333333333328</v>
      </c>
      <c r="H26" s="47">
        <f>SUM(G5,G6,G16,G17,G21,G22)</f>
        <v>18160</v>
      </c>
      <c r="I26" s="47">
        <f>G26-H26</f>
        <v>33657.333333333328</v>
      </c>
    </row>
    <row r="27" spans="1:9" x14ac:dyDescent="0.2">
      <c r="E27" t="s">
        <v>264</v>
      </c>
      <c r="F27" s="36">
        <f>G27*75</f>
        <v>2524299.9999999995</v>
      </c>
      <c r="G27" s="37">
        <f>I26</f>
        <v>33657.333333333328</v>
      </c>
    </row>
    <row r="29" spans="1:9" x14ac:dyDescent="0.2">
      <c r="A29" s="4" t="s">
        <v>121</v>
      </c>
      <c r="B29" s="4"/>
      <c r="C29" s="4"/>
      <c r="D29" s="4"/>
      <c r="E29" s="4"/>
      <c r="F29" s="4"/>
      <c r="G29" s="4"/>
      <c r="H29" s="4"/>
    </row>
    <row r="30" spans="1:9" ht="27.75" customHeight="1" x14ac:dyDescent="0.2">
      <c r="A30" s="23" t="s">
        <v>42</v>
      </c>
      <c r="B30" s="23" t="s">
        <v>122</v>
      </c>
      <c r="C30" s="23"/>
      <c r="D30" s="23" t="s">
        <v>43</v>
      </c>
      <c r="E30" s="23"/>
      <c r="F30" s="23" t="s">
        <v>123</v>
      </c>
      <c r="G30" s="23" t="s">
        <v>124</v>
      </c>
      <c r="H30" s="23"/>
    </row>
    <row r="31" spans="1:9" x14ac:dyDescent="0.2">
      <c r="A31" s="10" t="s">
        <v>45</v>
      </c>
      <c r="C31" s="33">
        <f>SUMIF(B5:B22,A31,C5:C22)</f>
        <v>32</v>
      </c>
      <c r="D31" s="11">
        <f>'2. Assumptions'!$B$12</f>
        <v>15000</v>
      </c>
      <c r="F31" s="28">
        <f t="shared" ref="F31:F41" si="1">C31*D31</f>
        <v>480000</v>
      </c>
      <c r="G31" s="25">
        <f>F31/'2. Assumptions'!$B$5</f>
        <v>6400</v>
      </c>
    </row>
    <row r="32" spans="1:9" x14ac:dyDescent="0.2">
      <c r="A32" s="10" t="s">
        <v>47</v>
      </c>
      <c r="C32" s="33">
        <f>SUMIF(B5:B22,A32,C5:C22)</f>
        <v>45</v>
      </c>
      <c r="D32" s="11">
        <f>'2. Assumptions'!$B$13</f>
        <v>10000</v>
      </c>
      <c r="F32" s="28">
        <f t="shared" si="1"/>
        <v>450000</v>
      </c>
      <c r="G32" s="25">
        <f>F32/'2. Assumptions'!$B$5</f>
        <v>6000</v>
      </c>
    </row>
    <row r="33" spans="1:7" x14ac:dyDescent="0.2">
      <c r="A33" s="10" t="s">
        <v>49</v>
      </c>
      <c r="C33" s="33">
        <f>SUMIF(B5:B22,A33,C5:C22)</f>
        <v>50</v>
      </c>
      <c r="D33" s="11">
        <f>'2. Assumptions'!$B$14</f>
        <v>6000</v>
      </c>
      <c r="F33" s="28">
        <f t="shared" si="1"/>
        <v>300000</v>
      </c>
      <c r="G33" s="25">
        <f>F33/'2. Assumptions'!$B$5</f>
        <v>4000</v>
      </c>
    </row>
    <row r="34" spans="1:7" x14ac:dyDescent="0.2">
      <c r="A34" s="10" t="s">
        <v>51</v>
      </c>
      <c r="C34" s="33">
        <f>SUMIF(B5:B22,A34,C5:C22)</f>
        <v>55</v>
      </c>
      <c r="D34" s="11">
        <f>'2. Assumptions'!$B$15</f>
        <v>12000</v>
      </c>
      <c r="F34" s="28">
        <f t="shared" si="1"/>
        <v>660000</v>
      </c>
      <c r="G34" s="25">
        <f>F34/'2. Assumptions'!$B$5</f>
        <v>8800</v>
      </c>
    </row>
    <row r="35" spans="1:7" x14ac:dyDescent="0.2">
      <c r="A35" s="10" t="s">
        <v>53</v>
      </c>
      <c r="C35" s="33">
        <f>SUMIF(B5:B22,A35,C5:C22)</f>
        <v>35</v>
      </c>
      <c r="D35" s="11">
        <f>'2. Assumptions'!$B$16</f>
        <v>12000</v>
      </c>
      <c r="F35" s="28">
        <f t="shared" si="1"/>
        <v>420000</v>
      </c>
      <c r="G35" s="25">
        <f>F35/'2. Assumptions'!$B$5</f>
        <v>5600</v>
      </c>
    </row>
    <row r="36" spans="1:7" x14ac:dyDescent="0.2">
      <c r="A36" s="10" t="s">
        <v>55</v>
      </c>
      <c r="C36" s="33">
        <f>SUMIF(B5:B22,A36,C5:C22)</f>
        <v>15</v>
      </c>
      <c r="D36" s="11">
        <f>'2. Assumptions'!$B$17</f>
        <v>8000</v>
      </c>
      <c r="F36" s="28">
        <f t="shared" si="1"/>
        <v>120000</v>
      </c>
      <c r="G36" s="25">
        <f>F36/'2. Assumptions'!$B$5</f>
        <v>1600</v>
      </c>
    </row>
    <row r="37" spans="1:7" x14ac:dyDescent="0.2">
      <c r="A37" s="10" t="s">
        <v>57</v>
      </c>
      <c r="C37" s="33">
        <f>SUMIF(B5:B22,A37,C5:C22)</f>
        <v>25</v>
      </c>
      <c r="D37" s="11">
        <f>'2. Assumptions'!$B$18</f>
        <v>10000</v>
      </c>
      <c r="F37" s="28">
        <f t="shared" si="1"/>
        <v>250000</v>
      </c>
      <c r="G37" s="25">
        <f>F37/'2. Assumptions'!$B$5</f>
        <v>3333.3333333333335</v>
      </c>
    </row>
    <row r="38" spans="1:7" x14ac:dyDescent="0.2">
      <c r="A38" s="10" t="s">
        <v>59</v>
      </c>
      <c r="C38" s="33">
        <f>SUMIF(B5:B22,A38,C5:C22)</f>
        <v>27</v>
      </c>
      <c r="D38" s="11">
        <f>'2. Assumptions'!$B$19</f>
        <v>7000</v>
      </c>
      <c r="F38" s="28">
        <f t="shared" si="1"/>
        <v>189000</v>
      </c>
      <c r="G38" s="25">
        <f>F38/'2. Assumptions'!$B$5</f>
        <v>2520</v>
      </c>
    </row>
    <row r="39" spans="1:7" x14ac:dyDescent="0.2">
      <c r="A39" s="10" t="s">
        <v>61</v>
      </c>
      <c r="C39" s="33">
        <f>SUMIF(B5:B22,A39,C5:C22)</f>
        <v>40</v>
      </c>
      <c r="D39" s="11">
        <f>'2. Assumptions'!$B$20</f>
        <v>5000</v>
      </c>
      <c r="F39" s="28">
        <f t="shared" si="1"/>
        <v>200000</v>
      </c>
      <c r="G39" s="25">
        <f>F39/'2. Assumptions'!$B$5</f>
        <v>2666.6666666666665</v>
      </c>
    </row>
    <row r="40" spans="1:7" x14ac:dyDescent="0.2">
      <c r="A40" s="10" t="s">
        <v>63</v>
      </c>
      <c r="C40" s="33">
        <f>SUMIF(B5:B22,A40,C5:C22)</f>
        <v>8</v>
      </c>
      <c r="D40" s="11">
        <f>'2. Assumptions'!$B$21</f>
        <v>18000</v>
      </c>
      <c r="F40" s="28">
        <f t="shared" si="1"/>
        <v>144000</v>
      </c>
      <c r="G40" s="25">
        <f>F40/'2. Assumptions'!$B$5</f>
        <v>1920</v>
      </c>
    </row>
    <row r="41" spans="1:7" x14ac:dyDescent="0.2">
      <c r="A41" s="10" t="s">
        <v>65</v>
      </c>
      <c r="C41" s="33">
        <f>SUMIF(B5:B22,A41,C5:C22)</f>
        <v>40</v>
      </c>
      <c r="D41" s="11">
        <f>'2. Assumptions'!$B$22</f>
        <v>8000</v>
      </c>
      <c r="F41" s="28">
        <f t="shared" si="1"/>
        <v>320000</v>
      </c>
      <c r="G41" s="25">
        <f>F41/'2. Assumptions'!$B$5</f>
        <v>4266.666666666667</v>
      </c>
    </row>
    <row r="42" spans="1:7" x14ac:dyDescent="0.2">
      <c r="A42" s="29" t="s">
        <v>125</v>
      </c>
      <c r="C42" s="30">
        <f>SUM(C31:C41)</f>
        <v>372</v>
      </c>
      <c r="F42" s="31">
        <f>SUM(F31:F41)</f>
        <v>3533000</v>
      </c>
      <c r="G42" s="32">
        <f>SUM(G31:G41)</f>
        <v>47106.666666666664</v>
      </c>
    </row>
  </sheetData>
  <mergeCells count="1">
    <mergeCell ref="A29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zoomScaleNormal="100" workbookViewId="0">
      <pane ySplit="4" topLeftCell="A5" activePane="bottomLeft" state="frozen"/>
      <selection pane="bottomLeft" activeCell="D14" sqref="D14"/>
    </sheetView>
  </sheetViews>
  <sheetFormatPr baseColWidth="10" defaultColWidth="8.6640625" defaultRowHeight="15" x14ac:dyDescent="0.2"/>
  <cols>
    <col min="1" max="1" width="45" customWidth="1"/>
    <col min="2" max="4" width="18" customWidth="1"/>
    <col min="5" max="5" width="45" customWidth="1"/>
  </cols>
  <sheetData>
    <row r="1" spans="1:5" ht="18" x14ac:dyDescent="0.2">
      <c r="A1" s="19" t="s">
        <v>261</v>
      </c>
    </row>
    <row r="2" spans="1:5" x14ac:dyDescent="0.2">
      <c r="A2" s="20" t="s">
        <v>126</v>
      </c>
    </row>
    <row r="4" spans="1:5" ht="27.75" customHeight="1" x14ac:dyDescent="0.2">
      <c r="A4" s="23" t="s">
        <v>127</v>
      </c>
      <c r="B4" s="23" t="s">
        <v>128</v>
      </c>
      <c r="C4" s="23" t="s">
        <v>129</v>
      </c>
      <c r="D4" s="23" t="s">
        <v>130</v>
      </c>
      <c r="E4" s="23" t="s">
        <v>131</v>
      </c>
    </row>
    <row r="5" spans="1:5" x14ac:dyDescent="0.2">
      <c r="A5" s="10" t="s">
        <v>132</v>
      </c>
      <c r="B5" s="28">
        <f>ROUND(C5*0.85,0)</f>
        <v>2145655</v>
      </c>
      <c r="C5" s="11">
        <f>'3. Software Man-Days'!F27</f>
        <v>2524299.9999999995</v>
      </c>
      <c r="D5" s="12">
        <f>'3. Software Man-Days'!G27</f>
        <v>33657.333333333328</v>
      </c>
      <c r="E5" s="14" t="s">
        <v>133</v>
      </c>
    </row>
    <row r="6" spans="1:5" ht="45" x14ac:dyDescent="0.2">
      <c r="A6" s="10" t="s">
        <v>134</v>
      </c>
      <c r="B6" s="24">
        <v>650000</v>
      </c>
      <c r="C6" s="24">
        <v>1200000</v>
      </c>
      <c r="D6" s="25">
        <f>C6/'2. Assumptions'!$B$5</f>
        <v>16000</v>
      </c>
      <c r="E6" s="14" t="s">
        <v>135</v>
      </c>
    </row>
    <row r="7" spans="1:5" ht="30" x14ac:dyDescent="0.2">
      <c r="A7" s="41" t="s">
        <v>136</v>
      </c>
      <c r="B7" s="48">
        <v>650000</v>
      </c>
      <c r="C7" s="48">
        <v>1100000</v>
      </c>
      <c r="D7" s="46">
        <f>C7/'2. Assumptions'!$B$5</f>
        <v>14666.666666666666</v>
      </c>
      <c r="E7" s="49" t="s">
        <v>137</v>
      </c>
    </row>
    <row r="8" spans="1:5" ht="45" x14ac:dyDescent="0.2">
      <c r="A8" s="41" t="s">
        <v>262</v>
      </c>
      <c r="B8" s="48">
        <v>195000</v>
      </c>
      <c r="C8" s="48">
        <v>325000</v>
      </c>
      <c r="D8" s="46">
        <f>C8/'2. Assumptions'!$B$5</f>
        <v>4333.333333333333</v>
      </c>
      <c r="E8" s="49" t="s">
        <v>138</v>
      </c>
    </row>
    <row r="9" spans="1:5" ht="45" x14ac:dyDescent="0.2">
      <c r="A9" s="10" t="s">
        <v>139</v>
      </c>
      <c r="B9" s="24">
        <v>325000</v>
      </c>
      <c r="C9" s="24">
        <v>650000</v>
      </c>
      <c r="D9" s="25">
        <f>C9/'2. Assumptions'!$B$5</f>
        <v>8666.6666666666661</v>
      </c>
      <c r="E9" s="14" t="s">
        <v>140</v>
      </c>
    </row>
    <row r="10" spans="1:5" ht="30" x14ac:dyDescent="0.2">
      <c r="A10" s="10" t="s">
        <v>141</v>
      </c>
      <c r="B10" s="10"/>
      <c r="C10" s="10"/>
      <c r="D10" s="10"/>
      <c r="E10" s="14" t="s">
        <v>263</v>
      </c>
    </row>
    <row r="11" spans="1:5" x14ac:dyDescent="0.2">
      <c r="A11" s="29" t="s">
        <v>142</v>
      </c>
      <c r="B11" s="31">
        <f>SUM(B5:B9)</f>
        <v>3965655</v>
      </c>
      <c r="C11" s="31">
        <f>SUM(C5:C9)</f>
        <v>5799300</v>
      </c>
      <c r="D11" s="32">
        <f>SUM(D5:D9)</f>
        <v>77324</v>
      </c>
    </row>
    <row r="12" spans="1:5" x14ac:dyDescent="0.2">
      <c r="A12" s="10" t="s">
        <v>143</v>
      </c>
      <c r="B12" s="28">
        <f>ROUND(B11*'2. Assumptions'!$B$32,0)</f>
        <v>396566</v>
      </c>
      <c r="C12" s="28">
        <f>ROUND(C11*'2. Assumptions'!$B$32,0)</f>
        <v>579930</v>
      </c>
      <c r="D12" s="25">
        <f>C12/'2. Assumptions'!$B$5</f>
        <v>7732.4</v>
      </c>
      <c r="E12" s="10" t="s">
        <v>144</v>
      </c>
    </row>
    <row r="13" spans="1:5" x14ac:dyDescent="0.2">
      <c r="A13" s="34" t="s">
        <v>145</v>
      </c>
      <c r="B13" s="36">
        <f>B11+B12</f>
        <v>4362221</v>
      </c>
      <c r="C13" s="36">
        <f>C11+C12</f>
        <v>6379230</v>
      </c>
      <c r="D13" s="37">
        <f>D11+D12</f>
        <v>85056.4</v>
      </c>
    </row>
    <row r="14" spans="1:5" x14ac:dyDescent="0.2">
      <c r="C14" s="36">
        <f>D14*75</f>
        <v>4954230</v>
      </c>
      <c r="D14" s="37">
        <f>D13-SUM(D7,D8)</f>
        <v>66056.399999999994</v>
      </c>
    </row>
    <row r="15" spans="1:5" x14ac:dyDescent="0.2">
      <c r="A15" s="4" t="s">
        <v>146</v>
      </c>
      <c r="B15" s="4"/>
      <c r="C15" s="4"/>
      <c r="D15" s="4"/>
      <c r="E15" s="4"/>
    </row>
    <row r="16" spans="1:5" x14ac:dyDescent="0.2">
      <c r="A16" s="10" t="s">
        <v>147</v>
      </c>
      <c r="D16" s="38"/>
    </row>
    <row r="17" spans="1:4" x14ac:dyDescent="0.2">
      <c r="A17" s="10" t="s">
        <v>148</v>
      </c>
      <c r="D17" s="22">
        <v>3</v>
      </c>
    </row>
    <row r="18" spans="1:4" x14ac:dyDescent="0.2">
      <c r="A18" s="10" t="s">
        <v>149</v>
      </c>
      <c r="D18" s="25">
        <f>D16*D17</f>
        <v>0</v>
      </c>
    </row>
    <row r="19" spans="1:4" x14ac:dyDescent="0.2">
      <c r="A19" s="10" t="s">
        <v>150</v>
      </c>
      <c r="C19" s="28">
        <f>D18*'2. Assumptions'!$B$5</f>
        <v>0</v>
      </c>
    </row>
    <row r="21" spans="1:4" x14ac:dyDescent="0.2">
      <c r="A21" s="34" t="s">
        <v>151</v>
      </c>
      <c r="C21" s="36">
        <f>C13+(D18*'2. Assumptions'!$B$5)</f>
        <v>6379230</v>
      </c>
      <c r="D21" s="37">
        <f>D13+D18</f>
        <v>85056.4</v>
      </c>
    </row>
  </sheetData>
  <mergeCells count="1">
    <mergeCell ref="A15:E1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zoomScaleNormal="100" workbookViewId="0">
      <pane ySplit="4" topLeftCell="A5" activePane="bottomLeft" state="frozen"/>
      <selection pane="bottomLeft" activeCell="E12" sqref="E12"/>
    </sheetView>
  </sheetViews>
  <sheetFormatPr baseColWidth="10" defaultColWidth="8.6640625" defaultRowHeight="15" x14ac:dyDescent="0.2"/>
  <cols>
    <col min="1" max="1" width="40" customWidth="1"/>
    <col min="2" max="2" width="55" customWidth="1"/>
    <col min="3" max="5" width="16" customWidth="1"/>
    <col min="6" max="6" width="40" customWidth="1"/>
  </cols>
  <sheetData>
    <row r="1" spans="1:6" ht="18" x14ac:dyDescent="0.2">
      <c r="A1" s="19" t="s">
        <v>152</v>
      </c>
    </row>
    <row r="2" spans="1:6" x14ac:dyDescent="0.2">
      <c r="A2" s="20" t="s">
        <v>153</v>
      </c>
    </row>
    <row r="4" spans="1:6" ht="27.75" customHeight="1" x14ac:dyDescent="0.2">
      <c r="A4" s="23" t="s">
        <v>154</v>
      </c>
      <c r="B4" s="23" t="s">
        <v>155</v>
      </c>
      <c r="C4" s="23" t="s">
        <v>156</v>
      </c>
      <c r="D4" s="23" t="s">
        <v>157</v>
      </c>
      <c r="E4" s="23" t="s">
        <v>158</v>
      </c>
      <c r="F4" s="23" t="s">
        <v>159</v>
      </c>
    </row>
    <row r="5" spans="1:6" x14ac:dyDescent="0.2">
      <c r="A5" s="10" t="s">
        <v>160</v>
      </c>
      <c r="B5" s="10" t="s">
        <v>161</v>
      </c>
      <c r="C5" s="50">
        <f>'2. Assumptions'!$B$25/'2. Assumptions'!$B$26</f>
        <v>1.6666666666666667</v>
      </c>
      <c r="D5" s="50">
        <f>'2. Assumptions'!$B$25/'2. Assumptions'!$B$26</f>
        <v>1.6666666666666667</v>
      </c>
      <c r="E5" s="50">
        <f>'2. Assumptions'!$B$25/'2. Assumptions'!$B$26</f>
        <v>1.6666666666666667</v>
      </c>
      <c r="F5" s="10" t="s">
        <v>162</v>
      </c>
    </row>
    <row r="6" spans="1:6" x14ac:dyDescent="0.2">
      <c r="A6" s="10" t="s">
        <v>163</v>
      </c>
      <c r="B6" s="10" t="s">
        <v>164</v>
      </c>
      <c r="C6" s="50">
        <f>'2. Assumptions'!$B$27</f>
        <v>6</v>
      </c>
      <c r="D6" s="50">
        <f>'2. Assumptions'!$B$27</f>
        <v>6</v>
      </c>
      <c r="E6" s="50">
        <f>'2. Assumptions'!$B$27</f>
        <v>6</v>
      </c>
      <c r="F6" s="10" t="s">
        <v>165</v>
      </c>
    </row>
    <row r="7" spans="1:6" x14ac:dyDescent="0.2">
      <c r="A7" s="10" t="s">
        <v>166</v>
      </c>
      <c r="B7" s="10" t="s">
        <v>167</v>
      </c>
      <c r="C7" s="50">
        <f>'2. Assumptions'!$B$28</f>
        <v>2</v>
      </c>
      <c r="D7" s="50">
        <f>'2. Assumptions'!$B$28</f>
        <v>2</v>
      </c>
      <c r="E7" s="50">
        <f>'2. Assumptions'!$B$28</f>
        <v>2</v>
      </c>
      <c r="F7" s="10" t="s">
        <v>168</v>
      </c>
    </row>
    <row r="8" spans="1:6" x14ac:dyDescent="0.2">
      <c r="A8" s="10" t="s">
        <v>169</v>
      </c>
      <c r="B8" s="10" t="s">
        <v>170</v>
      </c>
      <c r="C8" s="50">
        <f>'2. Assumptions'!$B$29</f>
        <v>1</v>
      </c>
      <c r="D8" s="50">
        <f>'2. Assumptions'!$B$29</f>
        <v>1</v>
      </c>
      <c r="E8" s="50">
        <f>'2. Assumptions'!$B$29</f>
        <v>1</v>
      </c>
      <c r="F8" s="10" t="s">
        <v>171</v>
      </c>
    </row>
    <row r="9" spans="1:6" x14ac:dyDescent="0.2">
      <c r="A9" s="10" t="s">
        <v>172</v>
      </c>
      <c r="B9" s="10" t="s">
        <v>173</v>
      </c>
      <c r="C9" s="50">
        <f>'2. Assumptions'!$B$30/100</f>
        <v>40</v>
      </c>
      <c r="D9" s="50">
        <f>'2. Assumptions'!$B$30/500</f>
        <v>8</v>
      </c>
      <c r="E9" s="50">
        <f>'2. Assumptions'!$B$30/1000</f>
        <v>4</v>
      </c>
      <c r="F9" s="10" t="s">
        <v>174</v>
      </c>
    </row>
    <row r="10" spans="1:6" x14ac:dyDescent="0.2">
      <c r="A10" s="34" t="s">
        <v>266</v>
      </c>
      <c r="B10" s="34"/>
      <c r="C10" s="51">
        <f>SUM(C5:C9)</f>
        <v>50.666666666666671</v>
      </c>
      <c r="D10" s="51">
        <f>SUM(D5:D9)</f>
        <v>18.666666666666668</v>
      </c>
      <c r="E10" s="51">
        <f>SUM(E5:E9)</f>
        <v>14.666666666666668</v>
      </c>
    </row>
    <row r="11" spans="1:6" x14ac:dyDescent="0.2">
      <c r="A11" s="29" t="s">
        <v>175</v>
      </c>
      <c r="C11" s="32">
        <f>C10</f>
        <v>50.666666666666671</v>
      </c>
      <c r="D11" s="32">
        <f>D10</f>
        <v>18.666666666666668</v>
      </c>
      <c r="E11" s="32">
        <f>E10</f>
        <v>14.666666666666668</v>
      </c>
    </row>
    <row r="13" spans="1:6" x14ac:dyDescent="0.2">
      <c r="A13" s="4" t="s">
        <v>176</v>
      </c>
      <c r="B13" s="4"/>
      <c r="C13" s="4"/>
      <c r="D13" s="4"/>
      <c r="E13" s="4"/>
      <c r="F13" s="4"/>
    </row>
    <row r="14" spans="1:6" x14ac:dyDescent="0.2">
      <c r="A14" s="10" t="s">
        <v>265</v>
      </c>
      <c r="C14" s="50">
        <f>C10</f>
        <v>50.666666666666671</v>
      </c>
      <c r="D14" s="50">
        <f>D10</f>
        <v>18.666666666666668</v>
      </c>
      <c r="E14" s="50">
        <f>E10</f>
        <v>14.666666666666668</v>
      </c>
      <c r="F14" s="10" t="s">
        <v>177</v>
      </c>
    </row>
    <row r="15" spans="1:6" x14ac:dyDescent="0.2">
      <c r="A15" s="10" t="s">
        <v>178</v>
      </c>
      <c r="C15" s="50">
        <f>C11</f>
        <v>50.666666666666671</v>
      </c>
      <c r="D15" s="50">
        <f>D11</f>
        <v>18.666666666666668</v>
      </c>
      <c r="E15" s="50">
        <f>E11</f>
        <v>14.666666666666668</v>
      </c>
    </row>
    <row r="16" spans="1:6" x14ac:dyDescent="0.2">
      <c r="A16" s="10" t="s">
        <v>179</v>
      </c>
      <c r="C16" s="50">
        <f>C15/(1-0.5)</f>
        <v>101.33333333333334</v>
      </c>
      <c r="D16" s="50">
        <f>D15/(1-0.5)</f>
        <v>37.333333333333336</v>
      </c>
      <c r="E16" s="50">
        <f>E15/(1-0.5)</f>
        <v>29.333333333333336</v>
      </c>
    </row>
    <row r="17" spans="1:6" x14ac:dyDescent="0.2">
      <c r="A17" s="10" t="s">
        <v>180</v>
      </c>
      <c r="C17" s="50">
        <f>C15/(1-0.7)</f>
        <v>168.88888888888889</v>
      </c>
      <c r="D17" s="50">
        <f>D15/(1-0.7)</f>
        <v>62.222222222222214</v>
      </c>
      <c r="E17" s="50">
        <f>E15/(1-0.7)</f>
        <v>48.888888888888886</v>
      </c>
    </row>
    <row r="18" spans="1:6" x14ac:dyDescent="0.2">
      <c r="A18" s="10" t="s">
        <v>181</v>
      </c>
      <c r="C18" s="12">
        <f>'2. Assumptions'!$B$31</f>
        <v>75</v>
      </c>
      <c r="D18" s="12">
        <f>'2. Assumptions'!$B$31</f>
        <v>75</v>
      </c>
      <c r="E18" s="12">
        <f>'2. Assumptions'!$B$31</f>
        <v>75</v>
      </c>
      <c r="F18" s="10" t="s">
        <v>182</v>
      </c>
    </row>
    <row r="19" spans="1:6" x14ac:dyDescent="0.2">
      <c r="A19" s="29" t="s">
        <v>183</v>
      </c>
      <c r="C19" s="32">
        <f>C18-C15</f>
        <v>24.333333333333329</v>
      </c>
      <c r="D19" s="32">
        <f>D18-D15</f>
        <v>56.333333333333329</v>
      </c>
      <c r="E19" s="32">
        <f>E18-E15</f>
        <v>60.333333333333329</v>
      </c>
    </row>
  </sheetData>
  <mergeCells count="1"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3" sqref="D13"/>
    </sheetView>
  </sheetViews>
  <sheetFormatPr baseColWidth="10" defaultColWidth="8.6640625" defaultRowHeight="15" x14ac:dyDescent="0.2"/>
  <cols>
    <col min="1" max="1" width="32" customWidth="1"/>
    <col min="2" max="14" width="13" customWidth="1"/>
    <col min="15" max="25" width="11.33203125" bestFit="1" customWidth="1"/>
  </cols>
  <sheetData>
    <row r="1" spans="1:25" ht="18" x14ac:dyDescent="0.2">
      <c r="A1" s="19" t="s">
        <v>184</v>
      </c>
    </row>
    <row r="2" spans="1:25" x14ac:dyDescent="0.2">
      <c r="A2" s="20" t="s">
        <v>185</v>
      </c>
    </row>
    <row r="4" spans="1:25" ht="27.75" customHeight="1" x14ac:dyDescent="0.2">
      <c r="A4" s="23" t="s">
        <v>186</v>
      </c>
      <c r="B4" s="23" t="s">
        <v>187</v>
      </c>
      <c r="C4" s="23" t="s">
        <v>188</v>
      </c>
      <c r="D4" s="23" t="s">
        <v>189</v>
      </c>
      <c r="E4" s="23" t="s">
        <v>190</v>
      </c>
      <c r="F4" s="23" t="s">
        <v>191</v>
      </c>
      <c r="G4" s="23" t="s">
        <v>192</v>
      </c>
      <c r="H4" s="23" t="s">
        <v>193</v>
      </c>
      <c r="I4" s="23" t="s">
        <v>194</v>
      </c>
      <c r="J4" s="23" t="s">
        <v>195</v>
      </c>
      <c r="K4" s="23" t="s">
        <v>196</v>
      </c>
      <c r="L4" s="23" t="s">
        <v>197</v>
      </c>
      <c r="M4" s="23" t="s">
        <v>198</v>
      </c>
      <c r="N4" s="23" t="s">
        <v>199</v>
      </c>
      <c r="O4" s="23" t="s">
        <v>200</v>
      </c>
      <c r="P4" s="23" t="s">
        <v>201</v>
      </c>
      <c r="Q4" s="23" t="s">
        <v>202</v>
      </c>
      <c r="R4" s="23" t="s">
        <v>203</v>
      </c>
      <c r="S4" s="23" t="s">
        <v>204</v>
      </c>
      <c r="T4" s="23" t="s">
        <v>205</v>
      </c>
      <c r="U4" s="23" t="s">
        <v>206</v>
      </c>
      <c r="V4" s="23" t="s">
        <v>207</v>
      </c>
      <c r="W4" s="23" t="s">
        <v>208</v>
      </c>
      <c r="X4" s="23" t="s">
        <v>209</v>
      </c>
      <c r="Y4" s="23" t="s">
        <v>210</v>
      </c>
    </row>
    <row r="5" spans="1:25" x14ac:dyDescent="0.2">
      <c r="A5" s="10" t="s">
        <v>211</v>
      </c>
      <c r="B5" s="22">
        <v>0</v>
      </c>
      <c r="C5" s="22">
        <v>0</v>
      </c>
      <c r="D5" s="22">
        <v>0</v>
      </c>
      <c r="E5" s="22">
        <v>100</v>
      </c>
      <c r="F5" s="22">
        <v>150</v>
      </c>
      <c r="G5" s="22">
        <v>200</v>
      </c>
      <c r="H5" s="22">
        <v>250</v>
      </c>
      <c r="I5" s="22">
        <v>300</v>
      </c>
      <c r="J5" s="22">
        <v>350</v>
      </c>
      <c r="K5" s="22">
        <v>400</v>
      </c>
      <c r="L5" s="22">
        <v>450</v>
      </c>
      <c r="M5" s="22">
        <v>500</v>
      </c>
      <c r="N5" s="22">
        <v>500</v>
      </c>
      <c r="O5" s="22">
        <v>500</v>
      </c>
      <c r="P5" s="22">
        <v>500</v>
      </c>
      <c r="Q5" s="22">
        <v>500</v>
      </c>
      <c r="R5" s="22">
        <v>500</v>
      </c>
      <c r="S5" s="22">
        <v>500</v>
      </c>
      <c r="T5" s="22">
        <v>500</v>
      </c>
      <c r="U5" s="22">
        <v>500</v>
      </c>
      <c r="V5" s="22">
        <v>500</v>
      </c>
      <c r="W5" s="22">
        <v>500</v>
      </c>
      <c r="X5" s="22">
        <v>500</v>
      </c>
      <c r="Y5" s="22">
        <v>500</v>
      </c>
    </row>
    <row r="6" spans="1:25" x14ac:dyDescent="0.2">
      <c r="A6" s="10" t="s">
        <v>212</v>
      </c>
      <c r="B6" s="12">
        <f>'5. Per-Device Monthly'!$D$19</f>
        <v>56.333333333333329</v>
      </c>
      <c r="C6" s="12">
        <f>'5. Per-Device Monthly'!$D$19</f>
        <v>56.333333333333329</v>
      </c>
      <c r="D6" s="12">
        <f>'5. Per-Device Monthly'!$D$19</f>
        <v>56.333333333333329</v>
      </c>
      <c r="E6" s="12">
        <f>'5. Per-Device Monthly'!$D$19</f>
        <v>56.333333333333329</v>
      </c>
      <c r="F6" s="12">
        <f>'5. Per-Device Monthly'!$D$19</f>
        <v>56.333333333333329</v>
      </c>
      <c r="G6" s="12">
        <f>'5. Per-Device Monthly'!$D$19</f>
        <v>56.333333333333329</v>
      </c>
      <c r="H6" s="12">
        <f>'5. Per-Device Monthly'!$D$19</f>
        <v>56.333333333333329</v>
      </c>
      <c r="I6" s="12">
        <f>'5. Per-Device Monthly'!$D$19</f>
        <v>56.333333333333329</v>
      </c>
      <c r="J6" s="12">
        <f>'5. Per-Device Monthly'!$D$19</f>
        <v>56.333333333333329</v>
      </c>
      <c r="K6" s="12">
        <f>'5. Per-Device Monthly'!$D$19</f>
        <v>56.333333333333329</v>
      </c>
      <c r="L6" s="12">
        <f>'5. Per-Device Monthly'!$D$19</f>
        <v>56.333333333333329</v>
      </c>
      <c r="M6" s="12">
        <f>'5. Per-Device Monthly'!$D$19</f>
        <v>56.333333333333329</v>
      </c>
      <c r="N6" s="12">
        <f>'5. Per-Device Monthly'!$D$19</f>
        <v>56.333333333333329</v>
      </c>
      <c r="O6" s="12">
        <f>'5. Per-Device Monthly'!$D$19</f>
        <v>56.333333333333329</v>
      </c>
      <c r="P6" s="12">
        <f>'5. Per-Device Monthly'!$D$19</f>
        <v>56.333333333333329</v>
      </c>
      <c r="Q6" s="12">
        <f>'5. Per-Device Monthly'!$D$19</f>
        <v>56.333333333333329</v>
      </c>
      <c r="R6" s="12">
        <f>'5. Per-Device Monthly'!$D$19</f>
        <v>56.333333333333329</v>
      </c>
      <c r="S6" s="12">
        <f>'5. Per-Device Monthly'!$D$19</f>
        <v>56.333333333333329</v>
      </c>
      <c r="T6" s="12">
        <f>'5. Per-Device Monthly'!$D$19</f>
        <v>56.333333333333329</v>
      </c>
      <c r="U6" s="12">
        <f>'5. Per-Device Monthly'!$D$19</f>
        <v>56.333333333333329</v>
      </c>
      <c r="V6" s="12">
        <f>'5. Per-Device Monthly'!$D$19</f>
        <v>56.333333333333329</v>
      </c>
      <c r="W6" s="12">
        <f>'5. Per-Device Monthly'!$D$19</f>
        <v>56.333333333333329</v>
      </c>
      <c r="X6" s="12">
        <f>'5. Per-Device Monthly'!$D$19</f>
        <v>56.333333333333329</v>
      </c>
      <c r="Y6" s="12">
        <f>'5. Per-Device Monthly'!$D$19</f>
        <v>56.333333333333329</v>
      </c>
    </row>
    <row r="7" spans="1:25" x14ac:dyDescent="0.2">
      <c r="A7" s="10" t="s">
        <v>213</v>
      </c>
      <c r="B7" s="25">
        <f>B5*'5. Per-Device Monthly'!$D$18</f>
        <v>0</v>
      </c>
      <c r="C7" s="25">
        <f>C5*'5. Per-Device Monthly'!$D$18</f>
        <v>0</v>
      </c>
      <c r="D7" s="25">
        <f>D5*'5. Per-Device Monthly'!$D$18</f>
        <v>0</v>
      </c>
      <c r="E7" s="25">
        <f>E5*'5. Per-Device Monthly'!$D$18</f>
        <v>7500</v>
      </c>
      <c r="F7" s="25">
        <f>F5*'5. Per-Device Monthly'!$D$18</f>
        <v>11250</v>
      </c>
      <c r="G7" s="25">
        <f>G5*'5. Per-Device Monthly'!$D$18</f>
        <v>15000</v>
      </c>
      <c r="H7" s="25">
        <f>H5*'5. Per-Device Monthly'!$D$18</f>
        <v>18750</v>
      </c>
      <c r="I7" s="25">
        <f>I5*'5. Per-Device Monthly'!$D$18</f>
        <v>22500</v>
      </c>
      <c r="J7" s="25">
        <f>J5*'5. Per-Device Monthly'!$D$18</f>
        <v>26250</v>
      </c>
      <c r="K7" s="25">
        <f>K5*'5. Per-Device Monthly'!$D$18</f>
        <v>30000</v>
      </c>
      <c r="L7" s="25">
        <f>L5*'5. Per-Device Monthly'!$D$18</f>
        <v>33750</v>
      </c>
      <c r="M7" s="25">
        <f>M5*'5. Per-Device Monthly'!$D$18</f>
        <v>37500</v>
      </c>
      <c r="N7" s="25">
        <f>N5*'5. Per-Device Monthly'!$D$18</f>
        <v>37500</v>
      </c>
      <c r="O7" s="25">
        <f>O5*'5. Per-Device Monthly'!$D$18</f>
        <v>37500</v>
      </c>
      <c r="P7" s="25">
        <f>P5*'5. Per-Device Monthly'!$D$18</f>
        <v>37500</v>
      </c>
      <c r="Q7" s="25">
        <f>Q5*'5. Per-Device Monthly'!$D$18</f>
        <v>37500</v>
      </c>
      <c r="R7" s="25">
        <f>R5*'5. Per-Device Monthly'!$D$18</f>
        <v>37500</v>
      </c>
      <c r="S7" s="25">
        <f>S5*'5. Per-Device Monthly'!$D$18</f>
        <v>37500</v>
      </c>
      <c r="T7" s="25">
        <f>T5*'5. Per-Device Monthly'!$D$18</f>
        <v>37500</v>
      </c>
      <c r="U7" s="25">
        <f>U5*'5. Per-Device Monthly'!$D$18</f>
        <v>37500</v>
      </c>
      <c r="V7" s="25">
        <f>V5*'5. Per-Device Monthly'!$D$18</f>
        <v>37500</v>
      </c>
      <c r="W7" s="25">
        <f>W5*'5. Per-Device Monthly'!$D$18</f>
        <v>37500</v>
      </c>
      <c r="X7" s="25">
        <f>X5*'5. Per-Device Monthly'!$D$18</f>
        <v>37500</v>
      </c>
      <c r="Y7" s="25">
        <f>Y5*'5. Per-Device Monthly'!$D$18</f>
        <v>37500</v>
      </c>
    </row>
    <row r="8" spans="1:25" x14ac:dyDescent="0.2">
      <c r="A8" s="10" t="s">
        <v>214</v>
      </c>
      <c r="B8" s="25">
        <f>B5*(SUM('5. Per-Device Monthly'!$D$5:$D$8)/'2. Assumptions'!$B$5) + ('2. Assumptions'!$B$30/'2. Assumptions'!$B$5)</f>
        <v>53.333333333333336</v>
      </c>
      <c r="C8" s="25">
        <f>C5*(SUM('5. Per-Device Monthly'!$D$5:$D$8)/'2. Assumptions'!$B$5) + ('2. Assumptions'!$B$30/'2. Assumptions'!$B$5)</f>
        <v>53.333333333333336</v>
      </c>
      <c r="D8" s="25">
        <f>D5*(SUM('5. Per-Device Monthly'!$D$5:$D$8)/'2. Assumptions'!$B$5) + ('2. Assumptions'!$B$30/'2. Assumptions'!$B$5)</f>
        <v>53.333333333333336</v>
      </c>
      <c r="E8" s="25">
        <f>E5*(SUM('5. Per-Device Monthly'!$D$5:$D$8)/'2. Assumptions'!$B$5) + ('2. Assumptions'!$B$30/'2. Assumptions'!$B$5)</f>
        <v>67.555555555555557</v>
      </c>
      <c r="F8" s="25">
        <f>F5*(SUM('5. Per-Device Monthly'!$D$5:$D$8)/'2. Assumptions'!$B$5) + ('2. Assumptions'!$B$30/'2. Assumptions'!$B$5)</f>
        <v>74.666666666666671</v>
      </c>
      <c r="G8" s="25">
        <f>G5*(SUM('5. Per-Device Monthly'!$D$5:$D$8)/'2. Assumptions'!$B$5) + ('2. Assumptions'!$B$30/'2. Assumptions'!$B$5)</f>
        <v>81.777777777777786</v>
      </c>
      <c r="H8" s="25">
        <f>H5*(SUM('5. Per-Device Monthly'!$D$5:$D$8)/'2. Assumptions'!$B$5) + ('2. Assumptions'!$B$30/'2. Assumptions'!$B$5)</f>
        <v>88.8888888888889</v>
      </c>
      <c r="I8" s="25">
        <f>I5*(SUM('5. Per-Device Monthly'!$D$5:$D$8)/'2. Assumptions'!$B$5) + ('2. Assumptions'!$B$30/'2. Assumptions'!$B$5)</f>
        <v>96</v>
      </c>
      <c r="J8" s="25">
        <f>J5*(SUM('5. Per-Device Monthly'!$D$5:$D$8)/'2. Assumptions'!$B$5) + ('2. Assumptions'!$B$30/'2. Assumptions'!$B$5)</f>
        <v>103.11111111111111</v>
      </c>
      <c r="K8" s="25">
        <f>K5*(SUM('5. Per-Device Monthly'!$D$5:$D$8)/'2. Assumptions'!$B$5) + ('2. Assumptions'!$B$30/'2. Assumptions'!$B$5)</f>
        <v>110.22222222222223</v>
      </c>
      <c r="L8" s="25">
        <f>L5*(SUM('5. Per-Device Monthly'!$D$5:$D$8)/'2. Assumptions'!$B$5) + ('2. Assumptions'!$B$30/'2. Assumptions'!$B$5)</f>
        <v>117.33333333333334</v>
      </c>
      <c r="M8" s="25">
        <f>M5*(SUM('5. Per-Device Monthly'!$D$5:$D$8)/'2. Assumptions'!$B$5) + ('2. Assumptions'!$B$30/'2. Assumptions'!$B$5)</f>
        <v>124.44444444444446</v>
      </c>
      <c r="N8" s="25">
        <f>N5*(SUM('5. Per-Device Monthly'!$D$5:$D$8)/'2. Assumptions'!$B$5) + ('2. Assumptions'!$B$30/'2. Assumptions'!$B$5)</f>
        <v>124.44444444444446</v>
      </c>
      <c r="O8" s="25">
        <f>O5*(SUM('5. Per-Device Monthly'!$D$5:$D$8)/'2. Assumptions'!$B$5) + ('2. Assumptions'!$B$30/'2. Assumptions'!$B$5)</f>
        <v>124.44444444444446</v>
      </c>
      <c r="P8" s="25">
        <f>P5*(SUM('5. Per-Device Monthly'!$D$5:$D$8)/'2. Assumptions'!$B$5) + ('2. Assumptions'!$B$30/'2. Assumptions'!$B$5)</f>
        <v>124.44444444444446</v>
      </c>
      <c r="Q8" s="25">
        <f>Q5*(SUM('5. Per-Device Monthly'!$D$5:$D$8)/'2. Assumptions'!$B$5) + ('2. Assumptions'!$B$30/'2. Assumptions'!$B$5)</f>
        <v>124.44444444444446</v>
      </c>
      <c r="R8" s="25">
        <f>R5*(SUM('5. Per-Device Monthly'!$D$5:$D$8)/'2. Assumptions'!$B$5) + ('2. Assumptions'!$B$30/'2. Assumptions'!$B$5)</f>
        <v>124.44444444444446</v>
      </c>
      <c r="S8" s="25">
        <f>S5*(SUM('5. Per-Device Monthly'!$D$5:$D$8)/'2. Assumptions'!$B$5) + ('2. Assumptions'!$B$30/'2. Assumptions'!$B$5)</f>
        <v>124.44444444444446</v>
      </c>
      <c r="T8" s="25">
        <f>T5*(SUM('5. Per-Device Monthly'!$D$5:$D$8)/'2. Assumptions'!$B$5) + ('2. Assumptions'!$B$30/'2. Assumptions'!$B$5)</f>
        <v>124.44444444444446</v>
      </c>
      <c r="U8" s="25">
        <f>U5*(SUM('5. Per-Device Monthly'!$D$5:$D$8)/'2. Assumptions'!$B$5) + ('2. Assumptions'!$B$30/'2. Assumptions'!$B$5)</f>
        <v>124.44444444444446</v>
      </c>
      <c r="V8" s="25">
        <f>V5*(SUM('5. Per-Device Monthly'!$D$5:$D$8)/'2. Assumptions'!$B$5) + ('2. Assumptions'!$B$30/'2. Assumptions'!$B$5)</f>
        <v>124.44444444444446</v>
      </c>
      <c r="W8" s="25">
        <f>W5*(SUM('5. Per-Device Monthly'!$D$5:$D$8)/'2. Assumptions'!$B$5) + ('2. Assumptions'!$B$30/'2. Assumptions'!$B$5)</f>
        <v>124.44444444444446</v>
      </c>
      <c r="X8" s="25">
        <f>X5*(SUM('5. Per-Device Monthly'!$D$5:$D$8)/'2. Assumptions'!$B$5) + ('2. Assumptions'!$B$30/'2. Assumptions'!$B$5)</f>
        <v>124.44444444444446</v>
      </c>
      <c r="Y8" s="25">
        <f>Y5*(SUM('5. Per-Device Monthly'!$D$5:$D$8)/'2. Assumptions'!$B$5) + ('2. Assumptions'!$B$30/'2. Assumptions'!$B$5)</f>
        <v>124.44444444444446</v>
      </c>
    </row>
    <row r="9" spans="1:25" x14ac:dyDescent="0.2">
      <c r="A9" s="29" t="s">
        <v>215</v>
      </c>
      <c r="B9" s="32">
        <f t="shared" ref="B9:Y9" si="0">B7-B8</f>
        <v>-53.333333333333336</v>
      </c>
      <c r="C9" s="32">
        <f t="shared" si="0"/>
        <v>-53.333333333333336</v>
      </c>
      <c r="D9" s="32">
        <f t="shared" si="0"/>
        <v>-53.333333333333336</v>
      </c>
      <c r="E9" s="32">
        <f t="shared" si="0"/>
        <v>7432.4444444444443</v>
      </c>
      <c r="F9" s="32">
        <f t="shared" si="0"/>
        <v>11175.333333333334</v>
      </c>
      <c r="G9" s="32">
        <f t="shared" si="0"/>
        <v>14918.222222222223</v>
      </c>
      <c r="H9" s="32">
        <f t="shared" si="0"/>
        <v>18661.111111111109</v>
      </c>
      <c r="I9" s="32">
        <f t="shared" si="0"/>
        <v>22404</v>
      </c>
      <c r="J9" s="32">
        <f t="shared" si="0"/>
        <v>26146.888888888891</v>
      </c>
      <c r="K9" s="32">
        <f t="shared" si="0"/>
        <v>29889.777777777777</v>
      </c>
      <c r="L9" s="32">
        <f t="shared" si="0"/>
        <v>33632.666666666664</v>
      </c>
      <c r="M9" s="32">
        <f t="shared" si="0"/>
        <v>37375.555555555555</v>
      </c>
      <c r="N9" s="32">
        <f t="shared" si="0"/>
        <v>37375.555555555555</v>
      </c>
      <c r="O9" s="32">
        <f t="shared" si="0"/>
        <v>37375.555555555555</v>
      </c>
      <c r="P9" s="32">
        <f t="shared" si="0"/>
        <v>37375.555555555555</v>
      </c>
      <c r="Q9" s="32">
        <f t="shared" si="0"/>
        <v>37375.555555555555</v>
      </c>
      <c r="R9" s="32">
        <f t="shared" si="0"/>
        <v>37375.555555555555</v>
      </c>
      <c r="S9" s="32">
        <f t="shared" si="0"/>
        <v>37375.555555555555</v>
      </c>
      <c r="T9" s="32">
        <f t="shared" si="0"/>
        <v>37375.555555555555</v>
      </c>
      <c r="U9" s="32">
        <f t="shared" si="0"/>
        <v>37375.555555555555</v>
      </c>
      <c r="V9" s="32">
        <f t="shared" si="0"/>
        <v>37375.555555555555</v>
      </c>
      <c r="W9" s="32">
        <f t="shared" si="0"/>
        <v>37375.555555555555</v>
      </c>
      <c r="X9" s="32">
        <f t="shared" si="0"/>
        <v>37375.555555555555</v>
      </c>
      <c r="Y9" s="32">
        <f t="shared" si="0"/>
        <v>37375.555555555555</v>
      </c>
    </row>
    <row r="10" spans="1:25" x14ac:dyDescent="0.2">
      <c r="A10" s="29" t="s">
        <v>216</v>
      </c>
      <c r="B10" s="32">
        <f>-'4. One-off Build'!$D$13+B9</f>
        <v>-85109.733333333323</v>
      </c>
      <c r="C10" s="32">
        <f t="shared" ref="C10:Y10" si="1">B10+C9</f>
        <v>-85163.066666666651</v>
      </c>
      <c r="D10" s="32">
        <f t="shared" si="1"/>
        <v>-85216.39999999998</v>
      </c>
      <c r="E10" s="32">
        <f t="shared" si="1"/>
        <v>-77783.955555555542</v>
      </c>
      <c r="F10" s="32">
        <f t="shared" si="1"/>
        <v>-66608.622222222213</v>
      </c>
      <c r="G10" s="32">
        <f t="shared" si="1"/>
        <v>-51690.399999999994</v>
      </c>
      <c r="H10" s="32">
        <f t="shared" si="1"/>
        <v>-33029.288888888885</v>
      </c>
      <c r="I10" s="32">
        <f t="shared" si="1"/>
        <v>-10625.288888888885</v>
      </c>
      <c r="J10" s="32">
        <f t="shared" si="1"/>
        <v>15521.600000000006</v>
      </c>
      <c r="K10" s="32">
        <f t="shared" si="1"/>
        <v>45411.377777777787</v>
      </c>
      <c r="L10" s="32">
        <f t="shared" si="1"/>
        <v>79044.044444444444</v>
      </c>
      <c r="M10" s="32">
        <f t="shared" si="1"/>
        <v>116419.6</v>
      </c>
      <c r="N10" s="32">
        <f t="shared" si="1"/>
        <v>153795.15555555557</v>
      </c>
      <c r="O10" s="32">
        <f t="shared" si="1"/>
        <v>191170.71111111113</v>
      </c>
      <c r="P10" s="32">
        <f t="shared" si="1"/>
        <v>228546.26666666669</v>
      </c>
      <c r="Q10" s="32">
        <f t="shared" si="1"/>
        <v>265921.82222222222</v>
      </c>
      <c r="R10" s="32">
        <f t="shared" si="1"/>
        <v>303297.37777777779</v>
      </c>
      <c r="S10" s="32">
        <f t="shared" si="1"/>
        <v>340672.93333333335</v>
      </c>
      <c r="T10" s="32">
        <f t="shared" si="1"/>
        <v>378048.48888888891</v>
      </c>
      <c r="U10" s="32">
        <f t="shared" si="1"/>
        <v>415424.04444444447</v>
      </c>
      <c r="V10" s="32">
        <f t="shared" si="1"/>
        <v>452799.60000000003</v>
      </c>
      <c r="W10" s="32">
        <f t="shared" si="1"/>
        <v>490175.1555555556</v>
      </c>
      <c r="X10" s="32">
        <f t="shared" si="1"/>
        <v>527550.7111111111</v>
      </c>
      <c r="Y10" s="32">
        <f t="shared" si="1"/>
        <v>564926.2666666666</v>
      </c>
    </row>
    <row r="11" spans="1:25" s="54" customFormat="1" x14ac:dyDescent="0.2">
      <c r="A11" s="52" t="s">
        <v>217</v>
      </c>
      <c r="B11" s="53">
        <f>B10*'2. Assumptions'!$B$5</f>
        <v>-6383229.9999999991</v>
      </c>
      <c r="C11" s="53">
        <f>C10*'2. Assumptions'!$B$5</f>
        <v>-6387229.9999999991</v>
      </c>
      <c r="D11" s="53">
        <f>D10*'2. Assumptions'!$B$5</f>
        <v>-6391229.9999999981</v>
      </c>
      <c r="E11" s="53">
        <f>E10*'2. Assumptions'!$B$5</f>
        <v>-5833796.666666666</v>
      </c>
      <c r="F11" s="53">
        <f>F10*'2. Assumptions'!$B$5</f>
        <v>-4995646.666666666</v>
      </c>
      <c r="G11" s="53">
        <f>G10*'2. Assumptions'!$B$5</f>
        <v>-3876779.9999999995</v>
      </c>
      <c r="H11" s="53">
        <f>H10*'2. Assumptions'!$B$5</f>
        <v>-2477196.6666666665</v>
      </c>
      <c r="I11" s="53">
        <f>I10*'2. Assumptions'!$B$5</f>
        <v>-796896.6666666664</v>
      </c>
      <c r="J11" s="53">
        <f>J10*'2. Assumptions'!$B$5</f>
        <v>1164120.0000000005</v>
      </c>
      <c r="K11" s="53">
        <f>K10*'2. Assumptions'!$B$5</f>
        <v>3405853.333333334</v>
      </c>
      <c r="L11" s="53">
        <f>L10*'2. Assumptions'!$B$5</f>
        <v>5928303.333333333</v>
      </c>
      <c r="M11" s="53">
        <f>M10*'2. Assumptions'!$B$5</f>
        <v>8731470</v>
      </c>
      <c r="N11" s="53">
        <f>N10*'2. Assumptions'!$B$5</f>
        <v>11534636.666666668</v>
      </c>
      <c r="O11" s="53">
        <f>O10*'2. Assumptions'!$B$5</f>
        <v>14337803.333333334</v>
      </c>
      <c r="P11" s="53">
        <f>P10*'2. Assumptions'!$B$5</f>
        <v>17140970.000000004</v>
      </c>
      <c r="Q11" s="53">
        <f>Q10*'2. Assumptions'!$B$5</f>
        <v>19944136.666666668</v>
      </c>
      <c r="R11" s="53">
        <f>R10*'2. Assumptions'!$B$5</f>
        <v>22747303.333333336</v>
      </c>
      <c r="S11" s="53">
        <f>S10*'2. Assumptions'!$B$5</f>
        <v>25550470</v>
      </c>
      <c r="T11" s="53">
        <f>T10*'2. Assumptions'!$B$5</f>
        <v>28353636.666666668</v>
      </c>
      <c r="U11" s="53">
        <f>U10*'2. Assumptions'!$B$5</f>
        <v>31156803.333333336</v>
      </c>
      <c r="V11" s="53">
        <f>V10*'2. Assumptions'!$B$5</f>
        <v>33959970</v>
      </c>
      <c r="W11" s="53">
        <f>W10*'2. Assumptions'!$B$5</f>
        <v>36763136.666666672</v>
      </c>
      <c r="X11" s="53">
        <f>X10*'2. Assumptions'!$B$5</f>
        <v>39566303.333333336</v>
      </c>
      <c r="Y11" s="53">
        <f>Y10*'2. Assumptions'!$B$5</f>
        <v>42369469.999999993</v>
      </c>
    </row>
    <row r="15" spans="1:25" x14ac:dyDescent="0.2">
      <c r="A15" s="4" t="s">
        <v>218</v>
      </c>
      <c r="B15" s="4"/>
      <c r="C15" s="4"/>
    </row>
    <row r="16" spans="1:25" x14ac:dyDescent="0.2">
      <c r="A16" s="10" t="s">
        <v>219</v>
      </c>
      <c r="B16" s="13" t="str">
        <f>INDEX($B$4:$Y$4, MATCH(1, $B$18:$Y$18, 0))</f>
        <v>M4</v>
      </c>
    </row>
    <row r="17" spans="1:25" x14ac:dyDescent="0.2">
      <c r="A17" s="10" t="s">
        <v>220</v>
      </c>
      <c r="B17" s="13" t="str">
        <f>INDEX($B$4:$Y$4, MATCH(1, $B$19:$Y$19, 0))</f>
        <v>M9</v>
      </c>
    </row>
    <row r="18" spans="1:25" x14ac:dyDescent="0.2">
      <c r="A18" s="39" t="s">
        <v>221</v>
      </c>
      <c r="B18" s="40">
        <f t="shared" ref="B18:Y18" si="2">IF(B9&gt;=0,1,0)</f>
        <v>0</v>
      </c>
      <c r="C18" s="40">
        <f t="shared" si="2"/>
        <v>0</v>
      </c>
      <c r="D18" s="40">
        <f t="shared" si="2"/>
        <v>0</v>
      </c>
      <c r="E18" s="40">
        <f t="shared" si="2"/>
        <v>1</v>
      </c>
      <c r="F18" s="40">
        <f t="shared" si="2"/>
        <v>1</v>
      </c>
      <c r="G18" s="40">
        <f t="shared" si="2"/>
        <v>1</v>
      </c>
      <c r="H18" s="40">
        <f t="shared" si="2"/>
        <v>1</v>
      </c>
      <c r="I18" s="40">
        <f t="shared" si="2"/>
        <v>1</v>
      </c>
      <c r="J18" s="40">
        <f t="shared" si="2"/>
        <v>1</v>
      </c>
      <c r="K18" s="40">
        <f t="shared" si="2"/>
        <v>1</v>
      </c>
      <c r="L18" s="40">
        <f t="shared" si="2"/>
        <v>1</v>
      </c>
      <c r="M18" s="40">
        <f t="shared" si="2"/>
        <v>1</v>
      </c>
      <c r="N18" s="40">
        <f t="shared" si="2"/>
        <v>1</v>
      </c>
      <c r="O18" s="40">
        <f t="shared" si="2"/>
        <v>1</v>
      </c>
      <c r="P18" s="40">
        <f t="shared" si="2"/>
        <v>1</v>
      </c>
      <c r="Q18" s="40">
        <f t="shared" si="2"/>
        <v>1</v>
      </c>
      <c r="R18" s="40">
        <f t="shared" si="2"/>
        <v>1</v>
      </c>
      <c r="S18" s="40">
        <f t="shared" si="2"/>
        <v>1</v>
      </c>
      <c r="T18" s="40">
        <f t="shared" si="2"/>
        <v>1</v>
      </c>
      <c r="U18" s="40">
        <f t="shared" si="2"/>
        <v>1</v>
      </c>
      <c r="V18" s="40">
        <f t="shared" si="2"/>
        <v>1</v>
      </c>
      <c r="W18" s="40">
        <f t="shared" si="2"/>
        <v>1</v>
      </c>
      <c r="X18" s="40">
        <f t="shared" si="2"/>
        <v>1</v>
      </c>
      <c r="Y18" s="40">
        <f t="shared" si="2"/>
        <v>1</v>
      </c>
    </row>
    <row r="19" spans="1:25" x14ac:dyDescent="0.2">
      <c r="A19" s="39" t="s">
        <v>222</v>
      </c>
      <c r="B19" s="40">
        <f t="shared" ref="B19:Y19" si="3">IF(B10&gt;=0,1,0)</f>
        <v>0</v>
      </c>
      <c r="C19" s="40">
        <f t="shared" si="3"/>
        <v>0</v>
      </c>
      <c r="D19" s="40">
        <f t="shared" si="3"/>
        <v>0</v>
      </c>
      <c r="E19" s="40">
        <f t="shared" si="3"/>
        <v>0</v>
      </c>
      <c r="F19" s="40">
        <f t="shared" si="3"/>
        <v>0</v>
      </c>
      <c r="G19" s="40">
        <f t="shared" si="3"/>
        <v>0</v>
      </c>
      <c r="H19" s="40">
        <f t="shared" si="3"/>
        <v>0</v>
      </c>
      <c r="I19" s="40">
        <f t="shared" si="3"/>
        <v>0</v>
      </c>
      <c r="J19" s="40">
        <f t="shared" si="3"/>
        <v>1</v>
      </c>
      <c r="K19" s="40">
        <f t="shared" si="3"/>
        <v>1</v>
      </c>
      <c r="L19" s="40">
        <f t="shared" si="3"/>
        <v>1</v>
      </c>
      <c r="M19" s="40">
        <f t="shared" si="3"/>
        <v>1</v>
      </c>
      <c r="N19" s="40">
        <f t="shared" si="3"/>
        <v>1</v>
      </c>
      <c r="O19" s="40">
        <f t="shared" si="3"/>
        <v>1</v>
      </c>
      <c r="P19" s="40">
        <f t="shared" si="3"/>
        <v>1</v>
      </c>
      <c r="Q19" s="40">
        <f t="shared" si="3"/>
        <v>1</v>
      </c>
      <c r="R19" s="40">
        <f t="shared" si="3"/>
        <v>1</v>
      </c>
      <c r="S19" s="40">
        <f t="shared" si="3"/>
        <v>1</v>
      </c>
      <c r="T19" s="40">
        <f t="shared" si="3"/>
        <v>1</v>
      </c>
      <c r="U19" s="40">
        <f t="shared" si="3"/>
        <v>1</v>
      </c>
      <c r="V19" s="40">
        <f t="shared" si="3"/>
        <v>1</v>
      </c>
      <c r="W19" s="40">
        <f t="shared" si="3"/>
        <v>1</v>
      </c>
      <c r="X19" s="40">
        <f t="shared" si="3"/>
        <v>1</v>
      </c>
      <c r="Y19" s="40">
        <f t="shared" si="3"/>
        <v>1</v>
      </c>
    </row>
    <row r="21" spans="1:25" x14ac:dyDescent="0.2">
      <c r="A21" s="1" t="s">
        <v>223</v>
      </c>
      <c r="B21" s="1"/>
      <c r="C21" s="1"/>
      <c r="D21" s="1"/>
      <c r="E21" s="1"/>
      <c r="F21" s="1"/>
    </row>
  </sheetData>
  <mergeCells count="2">
    <mergeCell ref="A15:C15"/>
    <mergeCell ref="A21:F2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4" width="18" customWidth="1"/>
    <col min="5" max="5" width="50" customWidth="1"/>
  </cols>
  <sheetData>
    <row r="1" spans="1:5" ht="18" x14ac:dyDescent="0.2">
      <c r="A1" s="19" t="s">
        <v>224</v>
      </c>
    </row>
    <row r="2" spans="1:5" x14ac:dyDescent="0.2">
      <c r="A2" s="20" t="s">
        <v>225</v>
      </c>
    </row>
    <row r="4" spans="1:5" ht="27.75" customHeight="1" x14ac:dyDescent="0.2">
      <c r="A4" s="23" t="s">
        <v>226</v>
      </c>
      <c r="B4" s="23" t="s">
        <v>227</v>
      </c>
      <c r="C4" s="23" t="s">
        <v>228</v>
      </c>
      <c r="D4" s="23" t="s">
        <v>229</v>
      </c>
      <c r="E4" s="23" t="s">
        <v>230</v>
      </c>
    </row>
    <row r="5" spans="1:5" ht="42" customHeight="1" x14ac:dyDescent="0.2">
      <c r="A5" s="10" t="s">
        <v>231</v>
      </c>
      <c r="B5" s="10" t="s">
        <v>232</v>
      </c>
      <c r="C5" s="18" t="s">
        <v>233</v>
      </c>
      <c r="D5" s="10" t="s">
        <v>234</v>
      </c>
      <c r="E5" s="14" t="s">
        <v>235</v>
      </c>
    </row>
    <row r="6" spans="1:5" ht="42" customHeight="1" x14ac:dyDescent="0.2">
      <c r="A6" s="10" t="s">
        <v>236</v>
      </c>
      <c r="B6" s="10" t="s">
        <v>237</v>
      </c>
      <c r="C6" s="18" t="s">
        <v>238</v>
      </c>
      <c r="D6" s="10" t="s">
        <v>239</v>
      </c>
      <c r="E6" s="14" t="s">
        <v>240</v>
      </c>
    </row>
    <row r="7" spans="1:5" ht="42" customHeight="1" x14ac:dyDescent="0.2">
      <c r="A7" s="10" t="s">
        <v>241</v>
      </c>
      <c r="B7" s="10" t="s">
        <v>242</v>
      </c>
      <c r="C7" s="18" t="s">
        <v>157</v>
      </c>
      <c r="D7" s="10" t="s">
        <v>243</v>
      </c>
      <c r="E7" s="14" t="s">
        <v>244</v>
      </c>
    </row>
    <row r="8" spans="1:5" ht="42" customHeight="1" x14ac:dyDescent="0.2">
      <c r="A8" s="10" t="s">
        <v>245</v>
      </c>
      <c r="B8" s="10" t="s">
        <v>246</v>
      </c>
      <c r="C8" s="18" t="s">
        <v>247</v>
      </c>
      <c r="D8" s="10" t="s">
        <v>248</v>
      </c>
      <c r="E8" s="14" t="s">
        <v>249</v>
      </c>
    </row>
    <row r="9" spans="1:5" ht="42" customHeight="1" x14ac:dyDescent="0.2">
      <c r="A9" s="10" t="s">
        <v>250</v>
      </c>
      <c r="B9" s="10" t="s">
        <v>251</v>
      </c>
      <c r="C9" s="18" t="s">
        <v>252</v>
      </c>
      <c r="D9" s="10" t="s">
        <v>253</v>
      </c>
      <c r="E9" s="14" t="s">
        <v>254</v>
      </c>
    </row>
    <row r="12" spans="1:5" x14ac:dyDescent="0.2">
      <c r="A12" s="4" t="s">
        <v>255</v>
      </c>
      <c r="B12" s="4"/>
      <c r="C12" s="4"/>
      <c r="D12" s="4"/>
      <c r="E12" s="4"/>
    </row>
    <row r="13" spans="1:5" ht="54.75" customHeight="1" x14ac:dyDescent="0.2">
      <c r="A13" s="3" t="s">
        <v>256</v>
      </c>
      <c r="B13" s="3"/>
      <c r="C13" s="3"/>
      <c r="D13" s="3"/>
      <c r="E13" s="3"/>
    </row>
  </sheetData>
  <mergeCells count="2">
    <mergeCell ref="A12:E12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Summary</vt:lpstr>
      <vt:lpstr>2. Assumptions</vt:lpstr>
      <vt:lpstr>3. Software Man-Days</vt:lpstr>
      <vt:lpstr>4. One-off Build</vt:lpstr>
      <vt:lpstr>5. Per-Device Monthly</vt:lpstr>
      <vt:lpstr>6. Break-even</vt:lpstr>
      <vt:lpstr>7.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Maheshkumar Paik</cp:lastModifiedBy>
  <cp:revision>0</cp:revision>
  <dcterms:created xsi:type="dcterms:W3CDTF">2026-08-11T09:04:52Z</dcterms:created>
  <dcterms:modified xsi:type="dcterms:W3CDTF">2026-08-11T10:14:00Z</dcterms:modified>
  <dc:language>en-US</dc:language>
</cp:coreProperties>
</file>